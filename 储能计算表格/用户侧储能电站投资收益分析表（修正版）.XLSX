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9425" windowHeight="9840" activeTab="1"/>
  </bookViews>
  <sheets>
    <sheet name="项目分析" sheetId="1" r:id="rId1"/>
    <sheet name="效益测算分析表" sheetId="2" r:id="rId2"/>
  </sheets>
  <calcPr calcId="144525"/>
</workbook>
</file>

<file path=xl/comments1.xml><?xml version="1.0" encoding="utf-8"?>
<comments xmlns="http://schemas.openxmlformats.org/spreadsheetml/2006/main">
  <authors>
    <author>Li, Baofeng Bob</author>
    <author>lenovo</author>
  </authors>
  <commentList>
    <comment ref="D4" authorId="0">
      <text>
        <r>
          <rPr>
            <b/>
            <sz val="9"/>
            <rFont val="宋体"/>
            <charset val="134"/>
          </rPr>
          <t>投资成本</t>
        </r>
      </text>
    </comment>
    <comment ref="C5" authorId="1">
      <text>
        <r>
          <rPr>
            <sz val="9"/>
            <rFont val="宋体"/>
            <charset val="134"/>
          </rPr>
          <t>资本金30%</t>
        </r>
      </text>
    </comment>
    <comment ref="D5" authorId="0">
      <text>
        <r>
          <rPr>
            <b/>
            <sz val="9"/>
            <rFont val="宋体"/>
            <charset val="134"/>
          </rPr>
          <t>资本金30%</t>
        </r>
      </text>
    </comment>
    <comment ref="C7" authorId="0">
      <text>
        <r>
          <rPr>
            <sz val="9"/>
            <rFont val="宋体"/>
            <charset val="134"/>
          </rPr>
          <t xml:space="preserve">贷款80%
</t>
        </r>
      </text>
    </comment>
    <comment ref="D8" authorId="0">
      <text>
        <r>
          <rPr>
            <b/>
            <sz val="9"/>
            <rFont val="宋体"/>
            <charset val="134"/>
          </rPr>
          <t>贷款10年</t>
        </r>
        <r>
          <rPr>
            <sz val="9"/>
            <rFont val="宋体"/>
            <charset val="134"/>
          </rPr>
          <t xml:space="preserve">
</t>
        </r>
      </text>
    </comment>
    <comment ref="C11" authorId="0">
      <text>
        <r>
          <rPr>
            <b/>
            <sz val="9"/>
            <rFont val="宋体"/>
            <charset val="134"/>
          </rPr>
          <t>每天电量
1MWh=1000KWh=1000度电</t>
        </r>
      </text>
    </comment>
    <comment ref="D13" authorId="0">
      <text>
        <r>
          <rPr>
            <b/>
            <sz val="9"/>
            <rFont val="宋体"/>
            <charset val="134"/>
          </rPr>
          <t>平段充电（两充两放）</t>
        </r>
      </text>
    </comment>
    <comment ref="C16" authorId="0">
      <text>
        <r>
          <rPr>
            <b/>
            <sz val="9"/>
            <rFont val="宋体"/>
            <charset val="134"/>
          </rPr>
          <t xml:space="preserve">电费收益
</t>
        </r>
      </text>
    </comment>
    <comment ref="D19" authorId="0">
      <text>
        <r>
          <rPr>
            <b/>
            <sz val="9"/>
            <rFont val="宋体"/>
            <charset val="134"/>
          </rPr>
          <t>6%节能服务费
若业主自投，不交税</t>
        </r>
      </text>
    </comment>
    <comment ref="C28" authorId="0">
      <text>
        <r>
          <rPr>
            <sz val="9"/>
            <rFont val="宋体"/>
            <charset val="134"/>
          </rPr>
          <t xml:space="preserve">新企业所得税法实施条例给予从事相关项目的环保企业“三免三减半”的税收优惠
</t>
        </r>
      </text>
    </comment>
  </commentList>
</comments>
</file>

<file path=xl/sharedStrings.xml><?xml version="1.0" encoding="utf-8"?>
<sst xmlns="http://schemas.openxmlformats.org/spreadsheetml/2006/main" count="95" uniqueCount="89">
  <si>
    <t>说明：本次表格按250KW/1MWh储能系统进行相应的计算，储能系统主要按削峰填谷的运行模式进行，储能电站分别在夜间电力低谷期间进行充电；在早高峰电价时刻和晚高峰电价时刻储能系统进行放电服务。</t>
  </si>
  <si>
    <t>1、峰平谷时</t>
  </si>
  <si>
    <t>名称</t>
  </si>
  <si>
    <t>时间段</t>
  </si>
  <si>
    <t>高峰</t>
  </si>
  <si>
    <t>9:00-12:00、17:00-22:00</t>
  </si>
  <si>
    <t>低谷</t>
  </si>
  <si>
    <t>23:00-8:00</t>
  </si>
  <si>
    <t>平段</t>
  </si>
  <si>
    <t>8:00-9:00、12:00-17:00、22:00-23:00</t>
  </si>
  <si>
    <t>2、充放电时间</t>
  </si>
  <si>
    <t>充电</t>
  </si>
  <si>
    <t>0:00-8:00</t>
  </si>
  <si>
    <t>12:00-19:00</t>
  </si>
  <si>
    <t>放电</t>
  </si>
  <si>
    <t>9:00-12:00</t>
  </si>
  <si>
    <t>19:00-22:00</t>
  </si>
  <si>
    <t>3、电费收益（单位：kWh）（按90%的放电深度计算）实际装机容量可考虑1000KWh/0.9=1111KWh</t>
  </si>
  <si>
    <t>放电功率（KW）</t>
  </si>
  <si>
    <t>充电功率（kw）</t>
  </si>
  <si>
    <t>充电时间（h）</t>
  </si>
  <si>
    <t>放电时间（h）</t>
  </si>
  <si>
    <t>电池容量（KWh）</t>
  </si>
  <si>
    <t>电价</t>
  </si>
  <si>
    <t>电费日收益元</t>
  </si>
  <si>
    <t>年收益</t>
  </si>
  <si>
    <t>峰</t>
  </si>
  <si>
    <t>平</t>
  </si>
  <si>
    <t>谷</t>
  </si>
  <si>
    <t>总计</t>
  </si>
  <si>
    <t>两充两放</t>
  </si>
  <si>
    <t>4、投入成本</t>
  </si>
  <si>
    <t>单价（元/KWh）</t>
  </si>
  <si>
    <t>投入成本</t>
  </si>
  <si>
    <t>备注</t>
  </si>
  <si>
    <t>峰谷电价差、时段，充放电策略，根据实际情况一充一放、一充两放或两充两放。
蓝色字体根据实际情况填写。储能电站设计使用寿命10+10=20年，建设期1年。
SOC低于80%时暂不考虑退役。质保时间5-10年。
本模型暂未考虑系统效率。
本财务模型只适用于10年内收回成本的项目，大于10年回收期，数据可能有偏差。</t>
  </si>
  <si>
    <t>更多资料关注公众号 储能</t>
  </si>
  <si>
    <t>储能项目投资效益测算分析表</t>
  </si>
  <si>
    <t>序号</t>
  </si>
  <si>
    <t>项  目</t>
  </si>
  <si>
    <t>一、</t>
  </si>
  <si>
    <t>基本情况</t>
  </si>
  <si>
    <t>总投资（元）</t>
  </si>
  <si>
    <t>投入资本金（元）</t>
  </si>
  <si>
    <t>其中：集团投入</t>
  </si>
  <si>
    <t>贷款余额（元）</t>
  </si>
  <si>
    <t>其中：归还贷款（元）</t>
  </si>
  <si>
    <t>折现率</t>
  </si>
  <si>
    <t>现值系数</t>
  </si>
  <si>
    <t>容量(KWh)</t>
  </si>
  <si>
    <t>充放电天数（天）</t>
  </si>
  <si>
    <t>平时段充电量（KWh）</t>
  </si>
  <si>
    <t>谷时段充电量（KWh）</t>
  </si>
  <si>
    <t>峰时段放电量（KWh）</t>
  </si>
  <si>
    <t>日收益值(元/KWH)</t>
  </si>
  <si>
    <t>二、</t>
  </si>
  <si>
    <t>发电收入（元）</t>
  </si>
  <si>
    <t>收入（元）-不含税</t>
  </si>
  <si>
    <t>收入（元）-税收</t>
  </si>
  <si>
    <t>实际收入</t>
  </si>
  <si>
    <t>三、</t>
  </si>
  <si>
    <t>总成本费用（元）</t>
  </si>
  <si>
    <t>折旧(元)</t>
  </si>
  <si>
    <t>营运成本(元)</t>
  </si>
  <si>
    <t>其中：材料（元）</t>
  </si>
  <si>
    <t>定额3-8元/KWh</t>
  </si>
  <si>
    <t xml:space="preserve">     职工薪酬（元）</t>
  </si>
  <si>
    <t>人均2万元/年</t>
  </si>
  <si>
    <t xml:space="preserve">     其他费用（元）</t>
  </si>
  <si>
    <t>四、</t>
  </si>
  <si>
    <t>利润总额（元）</t>
  </si>
  <si>
    <t>所得税（元）</t>
  </si>
  <si>
    <t>净利润（元）</t>
  </si>
  <si>
    <t>五、</t>
  </si>
  <si>
    <t>现金流量（元）</t>
  </si>
  <si>
    <t>净流量（元）</t>
  </si>
  <si>
    <t>现值（元）</t>
  </si>
  <si>
    <t>全现金流</t>
  </si>
  <si>
    <t>累计净现值（NPV）（元）</t>
  </si>
  <si>
    <t>自有资金投资回报率</t>
  </si>
  <si>
    <t>公司现行评价标准为8%</t>
  </si>
  <si>
    <t>全投资回报率</t>
  </si>
  <si>
    <t>公司现行评价标准为7%</t>
  </si>
  <si>
    <t>累计现金流量（元）</t>
  </si>
  <si>
    <t>投资回收期(年)</t>
  </si>
  <si>
    <t>IRR=k·IRRm+(1-k)IL</t>
  </si>
  <si>
    <t>IRR全投资回报率，IRRM自有资金回报率，IL银行利率，K自有资金百分比；IRR&gt;IL时，IRRm&gt;IRR； IRR&lt;IL时，IRRm&lt;IRR</t>
  </si>
  <si>
    <t xml:space="preserve">资本金内部收益率其实质就是使技资方案在计算期内各年净现金流量的现值累计等于零时的折现率。其数学表达式为： 中FIRR—财务内部收益率。
</t>
  </si>
  <si>
    <t>储能电站采用远程智慧运维平台，一般无人值守，职工薪酬等费用适当减少.
第三方投资，需缴纳6%节能服务税费，业主自投不交税。
新企业所得税法实施条例给予从事节能环保、沼气综合利用、海水淡化等环保企业相关项目“三免三减半”的税收优惠.
贷款时间：8+2年，贷款利率：8%（一般融资租赁的年利率）。还款方式：等额本息。</t>
  </si>
</sst>
</file>

<file path=xl/styles.xml><?xml version="1.0" encoding="utf-8"?>
<styleSheet xmlns="http://schemas.openxmlformats.org/spreadsheetml/2006/main">
  <numFmts count="1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 numFmtId="176" formatCode="0;_ꠀ"/>
    <numFmt numFmtId="177" formatCode="0.000_ "/>
    <numFmt numFmtId="178" formatCode="0.00_);[Red]\(0.00\)"/>
    <numFmt numFmtId="179" formatCode="0;_怀"/>
    <numFmt numFmtId="180" formatCode="0_ "/>
    <numFmt numFmtId="181" formatCode="_ * #,##0_ ;_ * \-#,##0_ ;_ * &quot;-&quot;??_ ;_ @_ "/>
    <numFmt numFmtId="182" formatCode="0_);[Red]\(0\)"/>
    <numFmt numFmtId="183" formatCode="0.000_);[Red]\(0.000\)"/>
    <numFmt numFmtId="184" formatCode="0.0000_ "/>
    <numFmt numFmtId="185" formatCode="\¥#,##0.00;[Red]\¥\-#,##0.00"/>
  </numFmts>
  <fonts count="44">
    <font>
      <sz val="11"/>
      <color theme="1"/>
      <name val="宋体"/>
      <charset val="134"/>
      <scheme val="minor"/>
    </font>
    <font>
      <b/>
      <sz val="14"/>
      <name val="华文中宋"/>
      <charset val="134"/>
    </font>
    <font>
      <b/>
      <sz val="9"/>
      <name val="宋体"/>
      <charset val="134"/>
    </font>
    <font>
      <sz val="9"/>
      <name val="宋体"/>
      <charset val="134"/>
    </font>
    <font>
      <b/>
      <sz val="9"/>
      <color theme="8"/>
      <name val="宋体"/>
      <charset val="134"/>
    </font>
    <font>
      <b/>
      <sz val="9"/>
      <color indexed="10"/>
      <name val="宋体"/>
      <charset val="134"/>
    </font>
    <font>
      <sz val="9"/>
      <color indexed="10"/>
      <name val="宋体"/>
      <charset val="134"/>
    </font>
    <font>
      <b/>
      <sz val="9"/>
      <color indexed="8"/>
      <name val="宋体"/>
      <charset val="134"/>
    </font>
    <font>
      <sz val="9"/>
      <color indexed="8"/>
      <name val="宋体"/>
      <charset val="134"/>
    </font>
    <font>
      <sz val="9"/>
      <name val="Times New Roman"/>
      <charset val="134"/>
    </font>
    <font>
      <sz val="9"/>
      <color rgb="FFFF0000"/>
      <name val="宋体"/>
      <charset val="134"/>
    </font>
    <font>
      <sz val="11"/>
      <color rgb="FFFF0000"/>
      <name val="宋体"/>
      <charset val="134"/>
    </font>
    <font>
      <b/>
      <sz val="48"/>
      <color rgb="FFFF0000"/>
      <name val="宋体"/>
      <charset val="134"/>
    </font>
    <font>
      <b/>
      <sz val="12"/>
      <color theme="1"/>
      <name val="宋体"/>
      <charset val="134"/>
      <scheme val="minor"/>
    </font>
    <font>
      <b/>
      <sz val="14"/>
      <color theme="1"/>
      <name val="宋体"/>
      <charset val="134"/>
    </font>
    <font>
      <sz val="12"/>
      <color theme="1"/>
      <name val="宋体"/>
      <charset val="134"/>
    </font>
    <font>
      <b/>
      <sz val="12"/>
      <color theme="1"/>
      <name val="宋体"/>
      <charset val="134"/>
    </font>
    <font>
      <b/>
      <sz val="12"/>
      <color theme="8"/>
      <name val="宋体"/>
      <charset val="134"/>
    </font>
    <font>
      <b/>
      <sz val="11"/>
      <color theme="8"/>
      <name val="宋体"/>
      <charset val="134"/>
      <scheme val="minor"/>
    </font>
    <font>
      <b/>
      <sz val="14"/>
      <color theme="1"/>
      <name val="宋体"/>
      <charset val="134"/>
      <scheme val="minor"/>
    </font>
    <font>
      <sz val="16"/>
      <color rgb="FFFF0000"/>
      <name val="宋体"/>
      <charset val="134"/>
      <scheme val="minor"/>
    </font>
    <font>
      <b/>
      <sz val="36"/>
      <color rgb="FFFF0000"/>
      <name val="宋体"/>
      <charset val="134"/>
      <scheme val="minor"/>
    </font>
    <font>
      <sz val="11"/>
      <color theme="0"/>
      <name val="宋体"/>
      <charset val="0"/>
      <scheme val="minor"/>
    </font>
    <font>
      <b/>
      <sz val="11"/>
      <color rgb="FF3F3F3F"/>
      <name val="宋体"/>
      <charset val="0"/>
      <scheme val="minor"/>
    </font>
    <font>
      <sz val="11"/>
      <color theme="1"/>
      <name val="宋体"/>
      <charset val="0"/>
      <scheme val="minor"/>
    </font>
    <font>
      <b/>
      <sz val="11"/>
      <color rgb="FFFFFFFF"/>
      <name val="宋体"/>
      <charset val="0"/>
      <scheme val="minor"/>
    </font>
    <font>
      <b/>
      <sz val="11"/>
      <color theme="3"/>
      <name val="宋体"/>
      <charset val="134"/>
      <scheme val="minor"/>
    </font>
    <font>
      <b/>
      <sz val="18"/>
      <color theme="3"/>
      <name val="宋体"/>
      <charset val="134"/>
      <scheme val="minor"/>
    </font>
    <font>
      <sz val="11"/>
      <color rgb="FF9C0006"/>
      <name val="宋体"/>
      <charset val="0"/>
      <scheme val="minor"/>
    </font>
    <font>
      <sz val="11"/>
      <color rgb="FFFA7D00"/>
      <name val="宋体"/>
      <charset val="0"/>
      <scheme val="minor"/>
    </font>
    <font>
      <b/>
      <sz val="11"/>
      <color rgb="FFFA7D00"/>
      <name val="宋体"/>
      <charset val="0"/>
      <scheme val="minor"/>
    </font>
    <font>
      <u/>
      <sz val="11"/>
      <color rgb="FF0000FF"/>
      <name val="宋体"/>
      <charset val="0"/>
      <scheme val="minor"/>
    </font>
    <font>
      <sz val="11"/>
      <color rgb="FF9C6500"/>
      <name val="宋体"/>
      <charset val="0"/>
      <scheme val="minor"/>
    </font>
    <font>
      <b/>
      <sz val="13"/>
      <color theme="3"/>
      <name val="宋体"/>
      <charset val="134"/>
      <scheme val="minor"/>
    </font>
    <font>
      <sz val="11"/>
      <color rgb="FFFF0000"/>
      <name val="宋体"/>
      <charset val="0"/>
      <scheme val="minor"/>
    </font>
    <font>
      <sz val="11"/>
      <color rgb="FF3F3F76"/>
      <name val="宋体"/>
      <charset val="0"/>
      <scheme val="minor"/>
    </font>
    <font>
      <u/>
      <sz val="11"/>
      <color rgb="FF800080"/>
      <name val="宋体"/>
      <charset val="0"/>
      <scheme val="minor"/>
    </font>
    <font>
      <sz val="11"/>
      <color rgb="FF006100"/>
      <name val="宋体"/>
      <charset val="0"/>
      <scheme val="minor"/>
    </font>
    <font>
      <b/>
      <sz val="15"/>
      <color theme="3"/>
      <name val="宋体"/>
      <charset val="134"/>
      <scheme val="minor"/>
    </font>
    <font>
      <sz val="12"/>
      <name val="宋体"/>
      <charset val="134"/>
    </font>
    <font>
      <b/>
      <sz val="11"/>
      <color theme="1"/>
      <name val="宋体"/>
      <charset val="0"/>
      <scheme val="minor"/>
    </font>
    <font>
      <i/>
      <sz val="11"/>
      <color rgb="FF7F7F7F"/>
      <name val="宋体"/>
      <charset val="0"/>
      <scheme val="minor"/>
    </font>
    <font>
      <sz val="9"/>
      <name val="宋体"/>
      <charset val="134"/>
    </font>
    <font>
      <b/>
      <sz val="9"/>
      <name val="宋体"/>
      <charset val="134"/>
    </font>
  </fonts>
  <fills count="35">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7"/>
        <bgColor indexed="64"/>
      </patternFill>
    </fill>
    <fill>
      <patternFill patternType="solid">
        <fgColor rgb="FFF2F2F2"/>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rgb="FFA5A5A5"/>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rgb="FFFFC7CE"/>
        <bgColor indexed="64"/>
      </patternFill>
    </fill>
    <fill>
      <patternFill patternType="solid">
        <fgColor theme="9" tint="0.399975585192419"/>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9"/>
        <bgColor indexed="64"/>
      </patternFill>
    </fill>
    <fill>
      <patternFill patternType="solid">
        <fgColor rgb="FFFFEB9C"/>
        <bgColor indexed="64"/>
      </patternFill>
    </fill>
    <fill>
      <patternFill patternType="solid">
        <fgColor theme="5"/>
        <bgColor indexed="64"/>
      </patternFill>
    </fill>
    <fill>
      <patternFill patternType="solid">
        <fgColor theme="6" tint="0.399975585192419"/>
        <bgColor indexed="64"/>
      </patternFill>
    </fill>
    <fill>
      <patternFill patternType="solid">
        <fgColor rgb="FFFFCC99"/>
        <bgColor indexed="64"/>
      </patternFill>
    </fill>
    <fill>
      <patternFill patternType="solid">
        <fgColor theme="6"/>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rgb="FFC6EFCE"/>
        <bgColor indexed="64"/>
      </patternFill>
    </fill>
    <fill>
      <patternFill patternType="solid">
        <fgColor rgb="FFFFFFCC"/>
        <bgColor indexed="64"/>
      </patternFill>
    </fill>
    <fill>
      <patternFill patternType="solid">
        <fgColor theme="8"/>
        <bgColor indexed="64"/>
      </patternFill>
    </fill>
    <fill>
      <patternFill patternType="solid">
        <fgColor theme="7" tint="0.599993896298105"/>
        <bgColor indexed="64"/>
      </patternFill>
    </fill>
  </fills>
  <borders count="30">
    <border>
      <left/>
      <right/>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auto="1"/>
      </right>
      <top/>
      <bottom style="medium">
        <color auto="1"/>
      </bottom>
      <diagonal/>
    </border>
    <border>
      <left/>
      <right style="medium">
        <color auto="1"/>
      </right>
      <top/>
      <bottom style="medium">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style="thin">
        <color auto="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0">
    <xf numFmtId="0" fontId="0" fillId="0" borderId="0">
      <alignment vertical="center"/>
    </xf>
    <xf numFmtId="42" fontId="0" fillId="0" borderId="0" applyFont="0" applyFill="0" applyBorder="0" applyAlignment="0" applyProtection="0">
      <alignment vertical="center"/>
    </xf>
    <xf numFmtId="0" fontId="24" fillId="28" borderId="0" applyNumberFormat="0" applyBorder="0" applyAlignment="0" applyProtection="0">
      <alignment vertical="center"/>
    </xf>
    <xf numFmtId="0" fontId="35" fillId="23" borderId="2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4" fillId="7" borderId="0" applyNumberFormat="0" applyBorder="0" applyAlignment="0" applyProtection="0">
      <alignment vertical="center"/>
    </xf>
    <xf numFmtId="0" fontId="28" fillId="12" borderId="0" applyNumberFormat="0" applyBorder="0" applyAlignment="0" applyProtection="0">
      <alignment vertical="center"/>
    </xf>
    <xf numFmtId="43" fontId="0" fillId="0" borderId="0" applyFont="0" applyFill="0" applyBorder="0" applyAlignment="0" applyProtection="0">
      <alignment vertical="center"/>
    </xf>
    <xf numFmtId="0" fontId="22" fillId="22" borderId="0" applyNumberFormat="0" applyBorder="0" applyAlignment="0" applyProtection="0">
      <alignment vertical="center"/>
    </xf>
    <xf numFmtId="0" fontId="31" fillId="0" borderId="0" applyNumberFormat="0" applyFill="0" applyBorder="0" applyAlignment="0" applyProtection="0">
      <alignment vertical="center"/>
    </xf>
    <xf numFmtId="9" fontId="0" fillId="0" borderId="0" applyFont="0" applyFill="0" applyBorder="0" applyAlignment="0" applyProtection="0">
      <alignment vertical="center"/>
    </xf>
    <xf numFmtId="0" fontId="36" fillId="0" borderId="0" applyNumberFormat="0" applyFill="0" applyBorder="0" applyAlignment="0" applyProtection="0">
      <alignment vertical="center"/>
    </xf>
    <xf numFmtId="0" fontId="0" fillId="32" borderId="28" applyNumberFormat="0" applyFont="0" applyAlignment="0" applyProtection="0">
      <alignment vertical="center"/>
    </xf>
    <xf numFmtId="0" fontId="22" fillId="11" borderId="0" applyNumberFormat="0" applyBorder="0" applyAlignment="0" applyProtection="0">
      <alignment vertical="center"/>
    </xf>
    <xf numFmtId="0" fontId="26"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38" fillId="0" borderId="27" applyNumberFormat="0" applyFill="0" applyAlignment="0" applyProtection="0">
      <alignment vertical="center"/>
    </xf>
    <xf numFmtId="0" fontId="33" fillId="0" borderId="27" applyNumberFormat="0" applyFill="0" applyAlignment="0" applyProtection="0">
      <alignment vertical="center"/>
    </xf>
    <xf numFmtId="0" fontId="22" fillId="10" borderId="0" applyNumberFormat="0" applyBorder="0" applyAlignment="0" applyProtection="0">
      <alignment vertical="center"/>
    </xf>
    <xf numFmtId="0" fontId="26" fillId="0" borderId="24" applyNumberFormat="0" applyFill="0" applyAlignment="0" applyProtection="0">
      <alignment vertical="center"/>
    </xf>
    <xf numFmtId="0" fontId="22" fillId="6" borderId="0" applyNumberFormat="0" applyBorder="0" applyAlignment="0" applyProtection="0">
      <alignment vertical="center"/>
    </xf>
    <xf numFmtId="0" fontId="23" fillId="5" borderId="22" applyNumberFormat="0" applyAlignment="0" applyProtection="0">
      <alignment vertical="center"/>
    </xf>
    <xf numFmtId="0" fontId="30" fillId="5" borderId="26" applyNumberFormat="0" applyAlignment="0" applyProtection="0">
      <alignment vertical="center"/>
    </xf>
    <xf numFmtId="0" fontId="25" fillId="9" borderId="23" applyNumberFormat="0" applyAlignment="0" applyProtection="0">
      <alignment vertical="center"/>
    </xf>
    <xf numFmtId="0" fontId="24" fillId="16" borderId="0" applyNumberFormat="0" applyBorder="0" applyAlignment="0" applyProtection="0">
      <alignment vertical="center"/>
    </xf>
    <xf numFmtId="0" fontId="22" fillId="21" borderId="0" applyNumberFormat="0" applyBorder="0" applyAlignment="0" applyProtection="0">
      <alignment vertical="center"/>
    </xf>
    <xf numFmtId="0" fontId="29" fillId="0" borderId="25" applyNumberFormat="0" applyFill="0" applyAlignment="0" applyProtection="0">
      <alignment vertical="center"/>
    </xf>
    <xf numFmtId="0" fontId="40" fillId="0" borderId="29" applyNumberFormat="0" applyFill="0" applyAlignment="0" applyProtection="0">
      <alignment vertical="center"/>
    </xf>
    <xf numFmtId="0" fontId="37" fillId="31" borderId="0" applyNumberFormat="0" applyBorder="0" applyAlignment="0" applyProtection="0">
      <alignment vertical="center"/>
    </xf>
    <xf numFmtId="0" fontId="32" fillId="20" borderId="0" applyNumberFormat="0" applyBorder="0" applyAlignment="0" applyProtection="0">
      <alignment vertical="center"/>
    </xf>
    <xf numFmtId="0" fontId="24" fillId="30" borderId="0" applyNumberFormat="0" applyBorder="0" applyAlignment="0" applyProtection="0">
      <alignment vertical="center"/>
    </xf>
    <xf numFmtId="0" fontId="22" fillId="27" borderId="0" applyNumberFormat="0" applyBorder="0" applyAlignment="0" applyProtection="0">
      <alignment vertical="center"/>
    </xf>
    <xf numFmtId="0" fontId="24" fillId="15" borderId="0" applyNumberFormat="0" applyBorder="0" applyAlignment="0" applyProtection="0">
      <alignment vertical="center"/>
    </xf>
    <xf numFmtId="0" fontId="24" fillId="26" borderId="0" applyNumberFormat="0" applyBorder="0" applyAlignment="0" applyProtection="0">
      <alignment vertical="center"/>
    </xf>
    <xf numFmtId="0" fontId="24" fillId="25" borderId="0" applyNumberFormat="0" applyBorder="0" applyAlignment="0" applyProtection="0">
      <alignment vertical="center"/>
    </xf>
    <xf numFmtId="0" fontId="24" fillId="14" borderId="0" applyNumberFormat="0" applyBorder="0" applyAlignment="0" applyProtection="0">
      <alignment vertical="center"/>
    </xf>
    <xf numFmtId="0" fontId="22" fillId="24" borderId="0" applyNumberFormat="0" applyBorder="0" applyAlignment="0" applyProtection="0">
      <alignment vertical="center"/>
    </xf>
    <xf numFmtId="0" fontId="22" fillId="4" borderId="0" applyNumberFormat="0" applyBorder="0" applyAlignment="0" applyProtection="0">
      <alignment vertical="center"/>
    </xf>
    <xf numFmtId="0" fontId="24" fillId="29" borderId="0" applyNumberFormat="0" applyBorder="0" applyAlignment="0" applyProtection="0">
      <alignment vertical="center"/>
    </xf>
    <xf numFmtId="0" fontId="24" fillId="34" borderId="0" applyNumberFormat="0" applyBorder="0" applyAlignment="0" applyProtection="0">
      <alignment vertical="center"/>
    </xf>
    <xf numFmtId="0" fontId="22" fillId="33" borderId="0" applyNumberFormat="0" applyBorder="0" applyAlignment="0" applyProtection="0">
      <alignment vertical="center"/>
    </xf>
    <xf numFmtId="0" fontId="24" fillId="18" borderId="0" applyNumberFormat="0" applyBorder="0" applyAlignment="0" applyProtection="0">
      <alignment vertical="center"/>
    </xf>
    <xf numFmtId="0" fontId="22" fillId="17" borderId="0" applyNumberFormat="0" applyBorder="0" applyAlignment="0" applyProtection="0">
      <alignment vertical="center"/>
    </xf>
    <xf numFmtId="0" fontId="22" fillId="19" borderId="0" applyNumberFormat="0" applyBorder="0" applyAlignment="0" applyProtection="0">
      <alignment vertical="center"/>
    </xf>
    <xf numFmtId="0" fontId="24" fillId="8" borderId="0" applyNumberFormat="0" applyBorder="0" applyAlignment="0" applyProtection="0">
      <alignment vertical="center"/>
    </xf>
    <xf numFmtId="0" fontId="22" fillId="13" borderId="0" applyNumberFormat="0" applyBorder="0" applyAlignment="0" applyProtection="0">
      <alignment vertical="center"/>
    </xf>
    <xf numFmtId="0" fontId="39" fillId="0" borderId="0"/>
  </cellStyleXfs>
  <cellXfs count="112">
    <xf numFmtId="0" fontId="0" fillId="0" borderId="0" xfId="0">
      <alignment vertical="center"/>
    </xf>
    <xf numFmtId="0" fontId="0" fillId="0" borderId="0" xfId="0" applyProtection="1">
      <alignment vertical="center"/>
      <protection locked="0"/>
    </xf>
    <xf numFmtId="0" fontId="1" fillId="0" borderId="1" xfId="49" applyFont="1" applyFill="1" applyBorder="1" applyAlignment="1" applyProtection="1">
      <alignment horizontal="center" vertical="center"/>
      <protection locked="0"/>
    </xf>
    <xf numFmtId="0" fontId="2" fillId="0" borderId="2" xfId="49" applyFont="1" applyFill="1" applyBorder="1" applyAlignment="1" applyProtection="1">
      <alignment horizontal="left" vertical="center"/>
      <protection locked="0"/>
    </xf>
    <xf numFmtId="0" fontId="2" fillId="0" borderId="3" xfId="49" applyFont="1" applyFill="1" applyBorder="1" applyAlignment="1" applyProtection="1">
      <alignment horizontal="center" vertical="center"/>
      <protection locked="0"/>
    </xf>
    <xf numFmtId="0" fontId="3" fillId="0" borderId="4" xfId="49" applyFont="1" applyFill="1" applyBorder="1" applyAlignment="1" applyProtection="1">
      <alignment horizontal="center" vertical="center"/>
      <protection locked="0"/>
    </xf>
    <xf numFmtId="0" fontId="2" fillId="0" borderId="5" xfId="49" applyFont="1" applyFill="1" applyBorder="1" applyAlignment="1" applyProtection="1">
      <alignment horizontal="left" vertical="center"/>
      <protection locked="0"/>
    </xf>
    <xf numFmtId="0" fontId="2" fillId="0" borderId="6" xfId="49" applyFont="1" applyFill="1" applyBorder="1" applyAlignment="1" applyProtection="1">
      <alignment horizontal="left" vertical="center"/>
      <protection locked="0"/>
    </xf>
    <xf numFmtId="0" fontId="2" fillId="0" borderId="4" xfId="49" applyFont="1" applyFill="1" applyBorder="1" applyAlignment="1" applyProtection="1">
      <alignment horizontal="center" vertical="center"/>
      <protection locked="0"/>
    </xf>
    <xf numFmtId="0" fontId="3" fillId="0" borderId="7" xfId="49" applyFont="1" applyFill="1" applyBorder="1" applyAlignment="1" applyProtection="1">
      <alignment horizontal="left" vertical="center"/>
      <protection locked="0"/>
    </xf>
    <xf numFmtId="180" fontId="4" fillId="0" borderId="7" xfId="49" applyNumberFormat="1" applyFont="1" applyFill="1" applyBorder="1" applyAlignment="1" applyProtection="1">
      <alignment horizontal="center" vertical="center" wrapText="1"/>
      <protection locked="0"/>
    </xf>
    <xf numFmtId="0" fontId="3" fillId="0" borderId="7" xfId="49" applyFont="1" applyFill="1" applyBorder="1" applyAlignment="1" applyProtection="1">
      <alignment horizontal="center" vertical="center" wrapText="1"/>
      <protection locked="0"/>
    </xf>
    <xf numFmtId="177" fontId="5" fillId="0" borderId="7" xfId="49" applyNumberFormat="1" applyFont="1" applyFill="1" applyBorder="1" applyAlignment="1" applyProtection="1">
      <alignment horizontal="center" vertical="center" wrapText="1"/>
      <protection locked="0"/>
    </xf>
    <xf numFmtId="176" fontId="6" fillId="0" borderId="7" xfId="49" applyNumberFormat="1" applyFont="1" applyFill="1" applyBorder="1" applyAlignment="1" applyProtection="1">
      <alignment horizontal="right" vertical="center" wrapText="1"/>
      <protection locked="0"/>
    </xf>
    <xf numFmtId="180" fontId="3" fillId="0" borderId="7" xfId="49" applyNumberFormat="1" applyFont="1" applyFill="1" applyBorder="1" applyAlignment="1" applyProtection="1">
      <alignment horizontal="center" vertical="center" wrapText="1"/>
      <protection locked="0"/>
    </xf>
    <xf numFmtId="179" fontId="3" fillId="0" borderId="7" xfId="49" applyNumberFormat="1" applyFont="1" applyFill="1" applyBorder="1" applyAlignment="1" applyProtection="1">
      <alignment horizontal="center" vertical="center" wrapText="1"/>
      <protection locked="0"/>
    </xf>
    <xf numFmtId="180" fontId="3" fillId="0" borderId="7" xfId="49" applyNumberFormat="1" applyFont="1" applyFill="1" applyBorder="1" applyAlignment="1" applyProtection="1">
      <alignment horizontal="left" vertical="center"/>
      <protection locked="0"/>
    </xf>
    <xf numFmtId="182" fontId="4" fillId="0" borderId="7" xfId="49" applyNumberFormat="1" applyFont="1" applyFill="1" applyBorder="1" applyAlignment="1" applyProtection="1">
      <alignment vertical="center"/>
      <protection locked="0"/>
    </xf>
    <xf numFmtId="180" fontId="3" fillId="2" borderId="7" xfId="49" applyNumberFormat="1" applyFont="1" applyFill="1" applyBorder="1" applyAlignment="1" applyProtection="1">
      <alignment horizontal="center" vertical="center" wrapText="1"/>
      <protection locked="0"/>
    </xf>
    <xf numFmtId="10" fontId="3" fillId="0" borderId="5" xfId="49" applyNumberFormat="1" applyFont="1" applyFill="1" applyBorder="1" applyAlignment="1" applyProtection="1">
      <alignment horizontal="left" vertical="center"/>
      <protection locked="0"/>
    </xf>
    <xf numFmtId="10" fontId="3" fillId="0" borderId="6" xfId="49" applyNumberFormat="1" applyFont="1" applyFill="1" applyBorder="1" applyAlignment="1" applyProtection="1">
      <alignment horizontal="left" vertical="center"/>
      <protection locked="0"/>
    </xf>
    <xf numFmtId="0" fontId="7" fillId="0" borderId="4" xfId="49" applyFont="1" applyFill="1" applyBorder="1" applyAlignment="1" applyProtection="1">
      <alignment horizontal="center" vertical="center"/>
      <protection locked="0"/>
    </xf>
    <xf numFmtId="0" fontId="8" fillId="0" borderId="7" xfId="49" applyFont="1" applyFill="1" applyBorder="1" applyAlignment="1" applyProtection="1">
      <alignment horizontal="left" vertical="center"/>
      <protection locked="0"/>
    </xf>
    <xf numFmtId="184" fontId="8" fillId="0" borderId="7" xfId="49" applyNumberFormat="1" applyFont="1" applyFill="1" applyBorder="1" applyAlignment="1" applyProtection="1">
      <alignment horizontal="center" vertical="center" wrapText="1"/>
      <protection locked="0"/>
    </xf>
    <xf numFmtId="0" fontId="2" fillId="0" borderId="4" xfId="49" applyFont="1" applyFill="1" applyBorder="1" applyAlignment="1" applyProtection="1">
      <alignment horizontal="center" vertical="center" wrapText="1"/>
      <protection locked="0"/>
    </xf>
    <xf numFmtId="178" fontId="3" fillId="0" borderId="7" xfId="49" applyNumberFormat="1" applyFont="1" applyFill="1" applyBorder="1" applyAlignment="1" applyProtection="1">
      <alignment vertical="center"/>
      <protection locked="0"/>
    </xf>
    <xf numFmtId="178" fontId="4" fillId="0" borderId="7" xfId="49" applyNumberFormat="1" applyFont="1" applyFill="1" applyBorder="1" applyAlignment="1" applyProtection="1">
      <alignment vertical="center"/>
      <protection locked="0"/>
    </xf>
    <xf numFmtId="178" fontId="2" fillId="2" borderId="7" xfId="8" applyNumberFormat="1" applyFont="1" applyFill="1" applyBorder="1" applyAlignment="1" applyProtection="1">
      <alignment horizontal="center" vertical="center" wrapText="1"/>
      <protection locked="0"/>
    </xf>
    <xf numFmtId="178" fontId="3" fillId="0" borderId="7" xfId="8" applyNumberFormat="1" applyFont="1" applyFill="1" applyBorder="1" applyAlignment="1" applyProtection="1">
      <alignment horizontal="center" vertical="center" wrapText="1"/>
      <protection locked="0"/>
    </xf>
    <xf numFmtId="182" fontId="3" fillId="0" borderId="7" xfId="8" applyNumberFormat="1" applyFont="1" applyFill="1" applyBorder="1" applyAlignment="1" applyProtection="1">
      <alignment horizontal="center" vertical="center" wrapText="1"/>
      <protection locked="0"/>
    </xf>
    <xf numFmtId="180" fontId="4" fillId="0" borderId="7" xfId="49" applyNumberFormat="1" applyFont="1" applyFill="1" applyBorder="1" applyAlignment="1" applyProtection="1">
      <alignment horizontal="right" vertical="center" wrapText="1"/>
      <protection locked="0"/>
    </xf>
    <xf numFmtId="178" fontId="3" fillId="0" borderId="7" xfId="49" applyNumberFormat="1" applyFont="1" applyFill="1" applyBorder="1" applyAlignment="1" applyProtection="1">
      <alignment vertical="center" wrapText="1"/>
      <protection locked="0"/>
    </xf>
    <xf numFmtId="182" fontId="3" fillId="0" borderId="7" xfId="49" applyNumberFormat="1" applyFont="1" applyFill="1" applyBorder="1" applyAlignment="1" applyProtection="1">
      <alignment vertical="center" wrapText="1"/>
      <protection locked="0"/>
    </xf>
    <xf numFmtId="183" fontId="4" fillId="0" borderId="7" xfId="49" applyNumberFormat="1" applyFont="1" applyFill="1" applyBorder="1" applyAlignment="1" applyProtection="1">
      <alignment vertical="center"/>
      <protection locked="0"/>
    </xf>
    <xf numFmtId="0" fontId="3" fillId="0" borderId="4" xfId="49" applyFont="1" applyFill="1" applyBorder="1" applyAlignment="1" applyProtection="1">
      <alignment horizontal="center" vertical="center" wrapText="1"/>
      <protection locked="0"/>
    </xf>
    <xf numFmtId="178" fontId="2" fillId="0" borderId="7" xfId="49" applyNumberFormat="1" applyFont="1" applyFill="1" applyBorder="1" applyAlignment="1" applyProtection="1">
      <alignment vertical="center"/>
      <protection locked="0"/>
    </xf>
    <xf numFmtId="178" fontId="3" fillId="0" borderId="7" xfId="49" applyNumberFormat="1" applyFont="1" applyFill="1" applyBorder="1" applyAlignment="1" applyProtection="1">
      <alignment horizontal="right" vertical="center" wrapText="1"/>
      <protection locked="0"/>
    </xf>
    <xf numFmtId="182" fontId="3" fillId="0" borderId="7" xfId="49" applyNumberFormat="1" applyFont="1" applyFill="1" applyBorder="1" applyAlignment="1" applyProtection="1">
      <alignment horizontal="right" vertical="center" wrapText="1"/>
      <protection locked="0"/>
    </xf>
    <xf numFmtId="0" fontId="2" fillId="0" borderId="7" xfId="49" applyFont="1" applyFill="1" applyBorder="1" applyAlignment="1" applyProtection="1">
      <alignment vertical="center"/>
      <protection locked="0"/>
    </xf>
    <xf numFmtId="43" fontId="3" fillId="0" borderId="7" xfId="8" applyFont="1" applyFill="1" applyBorder="1" applyAlignment="1" applyProtection="1">
      <alignment vertical="center"/>
      <protection locked="0"/>
    </xf>
    <xf numFmtId="10" fontId="6" fillId="0" borderId="7" xfId="8" applyNumberFormat="1" applyFont="1" applyFill="1" applyBorder="1" applyAlignment="1" applyProtection="1">
      <alignment vertical="center"/>
      <protection locked="0"/>
    </xf>
    <xf numFmtId="41" fontId="9" fillId="0" borderId="7" xfId="8" applyNumberFormat="1" applyFont="1" applyBorder="1" applyProtection="1">
      <alignment vertical="center"/>
      <protection locked="0"/>
    </xf>
    <xf numFmtId="43" fontId="6" fillId="0" borderId="7" xfId="8" applyFont="1" applyFill="1" applyBorder="1" applyAlignment="1" applyProtection="1">
      <alignment vertical="center"/>
      <protection locked="0"/>
    </xf>
    <xf numFmtId="43" fontId="10" fillId="0" borderId="7" xfId="8" applyFont="1" applyFill="1" applyBorder="1" applyAlignment="1" applyProtection="1">
      <alignment vertical="center"/>
      <protection locked="0"/>
    </xf>
    <xf numFmtId="43" fontId="2" fillId="0" borderId="4" xfId="8" applyFont="1" applyFill="1" applyBorder="1" applyAlignment="1" applyProtection="1">
      <alignment horizontal="center" vertical="center"/>
      <protection locked="0"/>
    </xf>
    <xf numFmtId="43" fontId="2" fillId="0" borderId="7" xfId="8" applyFont="1" applyFill="1" applyBorder="1" applyAlignment="1" applyProtection="1">
      <alignment vertical="center"/>
      <protection locked="0"/>
    </xf>
    <xf numFmtId="181" fontId="3" fillId="0" borderId="7" xfId="8" applyNumberFormat="1" applyFont="1" applyFill="1" applyBorder="1" applyProtection="1">
      <alignment vertical="center"/>
      <protection locked="0"/>
    </xf>
    <xf numFmtId="181" fontId="6" fillId="0" borderId="7" xfId="8" applyNumberFormat="1" applyFont="1" applyFill="1" applyBorder="1" applyProtection="1">
      <alignment vertical="center"/>
      <protection locked="0"/>
    </xf>
    <xf numFmtId="43" fontId="3" fillId="0" borderId="7" xfId="8" applyFont="1" applyFill="1" applyBorder="1" applyAlignment="1" applyProtection="1">
      <alignment vertical="center" shrinkToFit="1"/>
      <protection locked="0"/>
    </xf>
    <xf numFmtId="0" fontId="2" fillId="0" borderId="4" xfId="49" applyFont="1" applyFill="1" applyBorder="1" applyAlignment="1" applyProtection="1">
      <alignment horizontal="left" vertical="center"/>
      <protection locked="0"/>
    </xf>
    <xf numFmtId="0" fontId="2" fillId="2" borderId="7" xfId="49" applyFont="1" applyFill="1" applyBorder="1" applyAlignment="1" applyProtection="1">
      <alignment vertical="center"/>
      <protection locked="0"/>
    </xf>
    <xf numFmtId="181" fontId="3" fillId="2" borderId="7" xfId="49" applyNumberFormat="1" applyFont="1" applyFill="1" applyBorder="1" applyProtection="1">
      <protection locked="0"/>
    </xf>
    <xf numFmtId="0" fontId="6" fillId="0" borderId="8" xfId="49" applyFont="1" applyFill="1" applyBorder="1" applyAlignment="1" applyProtection="1">
      <alignment horizontal="left" vertical="center"/>
      <protection locked="0"/>
    </xf>
    <xf numFmtId="0" fontId="6" fillId="2" borderId="9" xfId="49" applyFont="1" applyFill="1" applyBorder="1" applyAlignment="1" applyProtection="1">
      <alignment vertical="center"/>
      <protection locked="0"/>
    </xf>
    <xf numFmtId="181" fontId="6" fillId="2" borderId="9" xfId="49" applyNumberFormat="1" applyFont="1" applyFill="1" applyBorder="1" applyProtection="1">
      <protection locked="0"/>
    </xf>
    <xf numFmtId="181" fontId="3" fillId="0" borderId="7" xfId="49" applyNumberFormat="1" applyFont="1" applyFill="1" applyBorder="1" applyProtection="1">
      <protection locked="0"/>
    </xf>
    <xf numFmtId="181" fontId="3" fillId="0" borderId="7" xfId="49" applyNumberFormat="1" applyFont="1" applyFill="1" applyBorder="1" applyAlignment="1" applyProtection="1">
      <alignment vertical="center"/>
      <protection locked="0"/>
    </xf>
    <xf numFmtId="181" fontId="3" fillId="0" borderId="10" xfId="49" applyNumberFormat="1" applyFont="1" applyFill="1" applyBorder="1" applyProtection="1">
      <protection locked="0"/>
    </xf>
    <xf numFmtId="181" fontId="3" fillId="0" borderId="11" xfId="49" applyNumberFormat="1" applyFont="1" applyFill="1" applyBorder="1" applyAlignment="1" applyProtection="1">
      <alignment vertical="center"/>
      <protection locked="0"/>
    </xf>
    <xf numFmtId="181" fontId="3" fillId="0" borderId="11" xfId="49" applyNumberFormat="1" applyFont="1" applyFill="1" applyBorder="1" applyProtection="1">
      <protection locked="0"/>
    </xf>
    <xf numFmtId="0" fontId="3" fillId="0" borderId="12" xfId="49" applyFont="1" applyFill="1" applyBorder="1" applyAlignment="1" applyProtection="1">
      <alignment horizontal="left" vertical="center"/>
      <protection locked="0"/>
    </xf>
    <xf numFmtId="0" fontId="3" fillId="0" borderId="13" xfId="49" applyFont="1" applyFill="1" applyBorder="1" applyAlignment="1" applyProtection="1">
      <alignment vertical="center"/>
      <protection locked="0"/>
    </xf>
    <xf numFmtId="181" fontId="3" fillId="0" borderId="13" xfId="49" applyNumberFormat="1" applyFont="1" applyFill="1" applyBorder="1" applyAlignment="1" applyProtection="1">
      <alignment vertical="center"/>
      <protection locked="0"/>
    </xf>
    <xf numFmtId="180" fontId="3" fillId="0" borderId="13" xfId="49" applyNumberFormat="1" applyFont="1" applyFill="1" applyBorder="1" applyProtection="1">
      <protection locked="0"/>
    </xf>
    <xf numFmtId="181" fontId="3" fillId="0" borderId="13" xfId="49" applyNumberFormat="1" applyFont="1" applyFill="1" applyBorder="1" applyProtection="1">
      <protection locked="0"/>
    </xf>
    <xf numFmtId="0" fontId="3" fillId="0" borderId="0" xfId="49" applyFont="1" applyFill="1" applyAlignment="1" applyProtection="1">
      <alignment horizontal="left" vertical="center"/>
      <protection locked="0"/>
    </xf>
    <xf numFmtId="0" fontId="2" fillId="0" borderId="14" xfId="49" applyFont="1" applyFill="1" applyBorder="1" applyAlignment="1" applyProtection="1">
      <alignment vertical="center"/>
      <protection locked="0"/>
    </xf>
    <xf numFmtId="10" fontId="5" fillId="2" borderId="15" xfId="49" applyNumberFormat="1" applyFont="1" applyFill="1" applyBorder="1" applyAlignment="1" applyProtection="1">
      <alignment vertical="center"/>
      <protection locked="0"/>
    </xf>
    <xf numFmtId="0" fontId="3" fillId="0" borderId="0" xfId="49" applyFont="1" applyFill="1" applyProtection="1">
      <protection locked="0"/>
    </xf>
    <xf numFmtId="0" fontId="3" fillId="0" borderId="16" xfId="49" applyFont="1" applyFill="1" applyBorder="1" applyAlignment="1" applyProtection="1">
      <alignment horizontal="left"/>
      <protection locked="0"/>
    </xf>
    <xf numFmtId="0" fontId="2" fillId="0" borderId="17" xfId="49" applyFont="1" applyFill="1" applyBorder="1" applyAlignment="1" applyProtection="1">
      <alignment vertical="center"/>
      <protection locked="0"/>
    </xf>
    <xf numFmtId="10" fontId="5" fillId="2" borderId="18" xfId="49" applyNumberFormat="1" applyFont="1" applyFill="1" applyBorder="1" applyAlignment="1" applyProtection="1">
      <alignment vertical="center"/>
      <protection locked="0"/>
    </xf>
    <xf numFmtId="0" fontId="3" fillId="0" borderId="0" xfId="49" applyFont="1" applyFill="1" applyAlignment="1" applyProtection="1">
      <alignment vertical="center"/>
      <protection locked="0"/>
    </xf>
    <xf numFmtId="181" fontId="3" fillId="0" borderId="0" xfId="49" applyNumberFormat="1" applyFont="1" applyFill="1" applyAlignment="1" applyProtection="1">
      <alignment vertical="center"/>
      <protection locked="0"/>
    </xf>
    <xf numFmtId="43" fontId="4" fillId="0" borderId="0" xfId="49" applyNumberFormat="1" applyFont="1" applyFill="1" applyAlignment="1" applyProtection="1">
      <protection locked="0"/>
    </xf>
    <xf numFmtId="43" fontId="3" fillId="0" borderId="0" xfId="49" applyNumberFormat="1" applyFont="1" applyFill="1" applyAlignment="1" applyProtection="1">
      <protection locked="0"/>
    </xf>
    <xf numFmtId="0" fontId="3" fillId="0" borderId="0" xfId="49" applyFont="1" applyFill="1" applyAlignment="1" applyProtection="1">
      <alignment vertical="center" wrapText="1"/>
      <protection locked="0"/>
    </xf>
    <xf numFmtId="185" fontId="3" fillId="0" borderId="0" xfId="49" applyNumberFormat="1" applyFont="1" applyFill="1" applyProtection="1">
      <protection locked="0"/>
    </xf>
    <xf numFmtId="0" fontId="11" fillId="0" borderId="0" xfId="49" applyFont="1" applyFill="1" applyAlignment="1" applyProtection="1">
      <alignment horizontal="left" vertical="center"/>
      <protection locked="0"/>
    </xf>
    <xf numFmtId="0" fontId="11" fillId="0" borderId="0" xfId="49" applyFont="1" applyFill="1" applyAlignment="1" applyProtection="1">
      <alignment horizontal="center" vertical="center" wrapText="1"/>
      <protection locked="0"/>
    </xf>
    <xf numFmtId="0" fontId="3" fillId="0" borderId="0" xfId="49" applyFont="1" applyFill="1" applyAlignment="1" applyProtection="1">
      <alignment horizontal="left" vertical="center"/>
      <protection locked="0"/>
    </xf>
    <xf numFmtId="0" fontId="3" fillId="0" borderId="0" xfId="49" applyFont="1" applyFill="1" applyAlignment="1" applyProtection="1">
      <alignment vertical="center"/>
      <protection locked="0"/>
    </xf>
    <xf numFmtId="0" fontId="3" fillId="0" borderId="0" xfId="49" applyFont="1" applyFill="1" applyProtection="1">
      <protection locked="0"/>
    </xf>
    <xf numFmtId="0" fontId="12" fillId="3" borderId="0" xfId="49" applyFont="1" applyFill="1" applyAlignment="1" applyProtection="1">
      <alignment horizontal="center"/>
    </xf>
    <xf numFmtId="0" fontId="3" fillId="3" borderId="0" xfId="49" applyFont="1" applyFill="1" applyAlignment="1" applyProtection="1">
      <alignment horizontal="center"/>
    </xf>
    <xf numFmtId="0" fontId="3" fillId="0" borderId="19" xfId="49" applyFont="1" applyFill="1" applyBorder="1" applyAlignment="1" applyProtection="1">
      <alignment horizontal="center" vertical="center" wrapText="1"/>
      <protection locked="0"/>
    </xf>
    <xf numFmtId="10" fontId="3" fillId="0" borderId="19" xfId="49" applyNumberFormat="1" applyFont="1" applyFill="1" applyBorder="1" applyAlignment="1" applyProtection="1">
      <alignment horizontal="left" vertical="center"/>
      <protection locked="0"/>
    </xf>
    <xf numFmtId="0" fontId="2" fillId="0" borderId="7" xfId="49" applyFont="1" applyFill="1" applyBorder="1" applyProtection="1">
      <protection locked="0"/>
    </xf>
    <xf numFmtId="0" fontId="2" fillId="0" borderId="0" xfId="49" applyFont="1" applyFill="1" applyBorder="1" applyProtection="1">
      <protection locked="0"/>
    </xf>
    <xf numFmtId="0" fontId="13" fillId="0" borderId="5" xfId="0" applyFont="1" applyBorder="1" applyAlignment="1" applyProtection="1">
      <alignment horizontal="left" vertical="center" wrapText="1"/>
      <protection locked="0"/>
    </xf>
    <xf numFmtId="0" fontId="13" fillId="0" borderId="6" xfId="0" applyFont="1" applyBorder="1" applyAlignment="1" applyProtection="1">
      <alignment horizontal="left" vertical="center" wrapText="1"/>
      <protection locked="0"/>
    </xf>
    <xf numFmtId="0" fontId="13" fillId="0" borderId="19" xfId="0" applyFont="1" applyBorder="1" applyAlignment="1" applyProtection="1">
      <alignment horizontal="left" vertical="center" wrapText="1"/>
      <protection locked="0"/>
    </xf>
    <xf numFmtId="0" fontId="14" fillId="0" borderId="7" xfId="0" applyFont="1" applyFill="1" applyBorder="1" applyAlignment="1" applyProtection="1">
      <alignment horizontal="left" vertical="center" wrapText="1"/>
      <protection locked="0"/>
    </xf>
    <xf numFmtId="0" fontId="15" fillId="0" borderId="0" xfId="0" applyFont="1" applyFill="1" applyBorder="1" applyAlignment="1" applyProtection="1">
      <alignment horizontal="center" vertical="center" wrapText="1"/>
      <protection locked="0"/>
    </xf>
    <xf numFmtId="0" fontId="16" fillId="0" borderId="7" xfId="0" applyFont="1" applyFill="1" applyBorder="1" applyAlignment="1" applyProtection="1">
      <alignment horizontal="center" vertical="center" wrapText="1"/>
      <protection locked="0"/>
    </xf>
    <xf numFmtId="0" fontId="17" fillId="0" borderId="7" xfId="0" applyFont="1" applyFill="1" applyBorder="1" applyAlignment="1" applyProtection="1">
      <alignment horizontal="center" vertical="center" wrapText="1"/>
      <protection locked="0"/>
    </xf>
    <xf numFmtId="0" fontId="15" fillId="0" borderId="7" xfId="0" applyFont="1" applyFill="1" applyBorder="1" applyAlignment="1" applyProtection="1">
      <alignment horizontal="center" vertical="center" wrapText="1"/>
      <protection locked="0"/>
    </xf>
    <xf numFmtId="0" fontId="15" fillId="0" borderId="9" xfId="0" applyFont="1" applyFill="1" applyBorder="1" applyAlignment="1" applyProtection="1">
      <alignment horizontal="center" vertical="center" wrapText="1"/>
      <protection locked="0"/>
    </xf>
    <xf numFmtId="0" fontId="17" fillId="0" borderId="9" xfId="0" applyFont="1" applyFill="1" applyBorder="1" applyAlignment="1" applyProtection="1">
      <alignment horizontal="center" vertical="center" wrapText="1"/>
      <protection locked="0"/>
    </xf>
    <xf numFmtId="0" fontId="14" fillId="0" borderId="20" xfId="0" applyFont="1" applyFill="1" applyBorder="1" applyAlignment="1" applyProtection="1">
      <alignment horizontal="left" vertical="center" wrapText="1"/>
      <protection locked="0"/>
    </xf>
    <xf numFmtId="0" fontId="14" fillId="0" borderId="0" xfId="0" applyFont="1" applyFill="1" applyAlignment="1" applyProtection="1">
      <alignment horizontal="left" vertical="center" wrapText="1"/>
      <protection locked="0"/>
    </xf>
    <xf numFmtId="0" fontId="14" fillId="0" borderId="21" xfId="0" applyFont="1" applyFill="1" applyBorder="1" applyAlignment="1" applyProtection="1">
      <alignment horizontal="left" vertical="center" wrapText="1"/>
      <protection locked="0"/>
    </xf>
    <xf numFmtId="0" fontId="14" fillId="0" borderId="21" xfId="0" applyFont="1" applyFill="1" applyBorder="1" applyAlignment="1" applyProtection="1">
      <alignment horizontal="left" vertical="center"/>
      <protection locked="0"/>
    </xf>
    <xf numFmtId="0" fontId="18" fillId="0" borderId="7" xfId="0" applyFont="1" applyBorder="1" applyAlignment="1" applyProtection="1">
      <alignment horizontal="center" vertical="center"/>
      <protection locked="0"/>
    </xf>
    <xf numFmtId="0" fontId="15" fillId="0" borderId="0" xfId="0" applyFont="1" applyFill="1" applyAlignment="1" applyProtection="1">
      <alignment vertical="center" wrapText="1"/>
      <protection locked="0"/>
    </xf>
    <xf numFmtId="0" fontId="16" fillId="0" borderId="7" xfId="0" applyFont="1" applyFill="1" applyBorder="1" applyAlignment="1" applyProtection="1">
      <alignment vertical="center" wrapText="1"/>
      <protection locked="0"/>
    </xf>
    <xf numFmtId="0" fontId="19" fillId="0" borderId="0" xfId="0" applyFont="1" applyAlignment="1" applyProtection="1">
      <alignment vertical="center"/>
      <protection locked="0"/>
    </xf>
    <xf numFmtId="0" fontId="20" fillId="0" borderId="0" xfId="0" applyFont="1" applyProtection="1">
      <alignment vertical="center"/>
      <protection locked="0"/>
    </xf>
    <xf numFmtId="0" fontId="20" fillId="0" borderId="0" xfId="0" applyFont="1" applyAlignment="1" applyProtection="1">
      <alignment horizontal="center" vertical="center" wrapText="1"/>
      <protection locked="0"/>
    </xf>
    <xf numFmtId="0" fontId="20" fillId="0" borderId="0" xfId="0" applyFont="1" applyAlignment="1" applyProtection="1">
      <alignment horizontal="center" vertical="center"/>
      <protection locked="0"/>
    </xf>
    <xf numFmtId="0" fontId="21" fillId="3" borderId="0" xfId="0" applyFont="1" applyFill="1" applyAlignment="1" applyProtection="1">
      <alignment horizontal="center" vertical="center"/>
    </xf>
    <xf numFmtId="0" fontId="0" fillId="3" borderId="0" xfId="0" applyFill="1" applyAlignment="1" applyProtection="1">
      <alignment horizontal="center"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_投资价值估算表20100309v3"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7"/>
  <sheetViews>
    <sheetView zoomScale="80" zoomScaleNormal="80" topLeftCell="A16" workbookViewId="0">
      <selection activeCell="A22" sqref="A22:I27"/>
    </sheetView>
  </sheetViews>
  <sheetFormatPr defaultColWidth="9" defaultRowHeight="13.5"/>
  <cols>
    <col min="1" max="1" width="17.625" style="1" customWidth="1"/>
    <col min="2" max="2" width="18.625" style="1" customWidth="1"/>
    <col min="3" max="3" width="19" style="1" customWidth="1"/>
    <col min="4" max="4" width="18.375" style="1" customWidth="1"/>
    <col min="5" max="5" width="20.875" style="1" customWidth="1"/>
    <col min="6" max="6" width="13.375" style="1" customWidth="1"/>
    <col min="7" max="7" width="18.875" style="1" customWidth="1"/>
    <col min="8" max="8" width="13.25" style="1" customWidth="1"/>
    <col min="9" max="9" width="15.875" style="1" customWidth="1"/>
    <col min="10" max="16384" width="9" style="1"/>
  </cols>
  <sheetData>
    <row r="1" ht="45.95" customHeight="1" spans="1:7">
      <c r="A1" s="89" t="s">
        <v>0</v>
      </c>
      <c r="B1" s="90"/>
      <c r="C1" s="90"/>
      <c r="D1" s="90"/>
      <c r="E1" s="90"/>
      <c r="F1" s="90"/>
      <c r="G1" s="91"/>
    </row>
    <row r="2" ht="21" customHeight="1" spans="1:7">
      <c r="A2" s="92" t="s">
        <v>1</v>
      </c>
      <c r="B2" s="92"/>
      <c r="C2" s="92"/>
      <c r="D2" s="92"/>
      <c r="E2" s="93"/>
      <c r="F2" s="93"/>
      <c r="G2" s="93"/>
    </row>
    <row r="3" ht="21" customHeight="1" spans="1:7">
      <c r="A3" s="94" t="s">
        <v>2</v>
      </c>
      <c r="B3" s="94" t="s">
        <v>3</v>
      </c>
      <c r="C3" s="94"/>
      <c r="D3" s="94"/>
      <c r="E3" s="93"/>
      <c r="F3" s="93"/>
      <c r="G3" s="93"/>
    </row>
    <row r="4" ht="21" customHeight="1" spans="1:7">
      <c r="A4" s="94" t="s">
        <v>4</v>
      </c>
      <c r="B4" s="95" t="s">
        <v>5</v>
      </c>
      <c r="C4" s="95"/>
      <c r="D4" s="95"/>
      <c r="E4" s="93"/>
      <c r="F4" s="93"/>
      <c r="G4" s="93"/>
    </row>
    <row r="5" ht="21" customHeight="1" spans="1:7">
      <c r="A5" s="94" t="s">
        <v>6</v>
      </c>
      <c r="B5" s="95" t="s">
        <v>7</v>
      </c>
      <c r="C5" s="95"/>
      <c r="D5" s="95"/>
      <c r="E5" s="93"/>
      <c r="F5" s="93"/>
      <c r="G5" s="93"/>
    </row>
    <row r="6" ht="21" customHeight="1" spans="1:7">
      <c r="A6" s="94" t="s">
        <v>8</v>
      </c>
      <c r="B6" s="95" t="s">
        <v>9</v>
      </c>
      <c r="C6" s="95"/>
      <c r="D6" s="95"/>
      <c r="E6" s="93"/>
      <c r="F6" s="93"/>
      <c r="G6" s="93"/>
    </row>
    <row r="7" ht="21" customHeight="1" spans="1:7">
      <c r="A7" s="92" t="s">
        <v>10</v>
      </c>
      <c r="B7" s="92"/>
      <c r="C7" s="92"/>
      <c r="D7" s="93"/>
      <c r="E7" s="93"/>
      <c r="F7" s="93"/>
      <c r="G7" s="93"/>
    </row>
    <row r="8" ht="21" customHeight="1" spans="1:7">
      <c r="A8" s="94" t="s">
        <v>2</v>
      </c>
      <c r="B8" s="94" t="s">
        <v>3</v>
      </c>
      <c r="C8" s="94"/>
      <c r="D8" s="93"/>
      <c r="E8" s="93"/>
      <c r="F8" s="93"/>
      <c r="G8" s="93"/>
    </row>
    <row r="9" ht="21" customHeight="1" spans="1:7">
      <c r="A9" s="96" t="s">
        <v>11</v>
      </c>
      <c r="B9" s="95" t="s">
        <v>12</v>
      </c>
      <c r="C9" s="95" t="s">
        <v>13</v>
      </c>
      <c r="D9" s="93"/>
      <c r="E9" s="93"/>
      <c r="F9" s="93"/>
      <c r="G9" s="93"/>
    </row>
    <row r="10" ht="21" customHeight="1" spans="1:7">
      <c r="A10" s="97" t="s">
        <v>14</v>
      </c>
      <c r="B10" s="98" t="s">
        <v>15</v>
      </c>
      <c r="C10" s="98" t="s">
        <v>16</v>
      </c>
      <c r="D10" s="93"/>
      <c r="E10" s="93"/>
      <c r="F10" s="93"/>
      <c r="G10" s="93"/>
    </row>
    <row r="11" ht="18.95" customHeight="1" spans="1:8">
      <c r="A11" s="99" t="s">
        <v>17</v>
      </c>
      <c r="B11" s="100"/>
      <c r="C11" s="100"/>
      <c r="D11" s="100"/>
      <c r="E11" s="100"/>
      <c r="F11" s="100"/>
      <c r="G11" s="100"/>
      <c r="H11" s="100"/>
    </row>
    <row r="12" ht="39" customHeight="1" spans="1:8">
      <c r="A12" s="101" t="s">
        <v>18</v>
      </c>
      <c r="B12" s="102" t="s">
        <v>19</v>
      </c>
      <c r="C12" s="102" t="s">
        <v>20</v>
      </c>
      <c r="D12" s="102" t="s">
        <v>21</v>
      </c>
      <c r="E12" s="102" t="s">
        <v>22</v>
      </c>
      <c r="F12" s="102" t="s">
        <v>23</v>
      </c>
      <c r="G12" s="102" t="s">
        <v>24</v>
      </c>
      <c r="H12" s="102" t="s">
        <v>25</v>
      </c>
    </row>
    <row r="13" ht="18.95" customHeight="1" spans="1:9">
      <c r="A13" s="95">
        <v>250</v>
      </c>
      <c r="B13" s="95"/>
      <c r="C13" s="95"/>
      <c r="D13" s="95">
        <v>8</v>
      </c>
      <c r="E13" s="95">
        <v>1000</v>
      </c>
      <c r="F13" s="95">
        <v>0.9858</v>
      </c>
      <c r="G13" s="95">
        <f>A13*D13*F13</f>
        <v>1971.6</v>
      </c>
      <c r="H13" s="103">
        <f>G16*360</f>
        <v>337788</v>
      </c>
      <c r="I13" s="95" t="s">
        <v>26</v>
      </c>
    </row>
    <row r="14" ht="18.95" customHeight="1" spans="1:9">
      <c r="A14" s="95"/>
      <c r="B14" s="95">
        <v>250</v>
      </c>
      <c r="C14" s="95">
        <v>4</v>
      </c>
      <c r="D14" s="95"/>
      <c r="E14" s="95"/>
      <c r="F14" s="95">
        <v>0.673</v>
      </c>
      <c r="G14" s="95">
        <f>-B14*C14*F14</f>
        <v>-673</v>
      </c>
      <c r="H14" s="103"/>
      <c r="I14" s="95" t="s">
        <v>27</v>
      </c>
    </row>
    <row r="15" ht="18.95" customHeight="1" spans="1:9">
      <c r="A15" s="95"/>
      <c r="B15" s="95">
        <v>125</v>
      </c>
      <c r="C15" s="95">
        <v>8</v>
      </c>
      <c r="D15" s="95"/>
      <c r="E15" s="95"/>
      <c r="F15" s="95">
        <v>0.3603</v>
      </c>
      <c r="G15" s="95">
        <f>-B15*C15*F15</f>
        <v>-360.3</v>
      </c>
      <c r="H15" s="103"/>
      <c r="I15" s="95" t="s">
        <v>28</v>
      </c>
    </row>
    <row r="16" ht="18.95" customHeight="1" spans="1:9">
      <c r="A16" s="95"/>
      <c r="B16" s="95"/>
      <c r="C16" s="95"/>
      <c r="D16" s="95"/>
      <c r="E16" s="95"/>
      <c r="F16" s="95" t="s">
        <v>29</v>
      </c>
      <c r="G16" s="95">
        <f>G13+G14+G15</f>
        <v>938.3</v>
      </c>
      <c r="H16" s="103"/>
      <c r="I16" s="95" t="s">
        <v>30</v>
      </c>
    </row>
    <row r="17" ht="24" customHeight="1" spans="1:7">
      <c r="A17" s="100" t="s">
        <v>31</v>
      </c>
      <c r="B17" s="100"/>
      <c r="C17" s="100"/>
      <c r="D17" s="104"/>
      <c r="E17" s="104"/>
      <c r="F17" s="104"/>
      <c r="G17" s="104"/>
    </row>
    <row r="18" ht="33" customHeight="1" spans="1:7">
      <c r="A18" s="105" t="s">
        <v>22</v>
      </c>
      <c r="B18" s="105" t="s">
        <v>32</v>
      </c>
      <c r="C18" s="105" t="s">
        <v>33</v>
      </c>
      <c r="D18" s="104"/>
      <c r="E18" s="104"/>
      <c r="F18" s="104"/>
      <c r="G18" s="104"/>
    </row>
    <row r="19" ht="24" customHeight="1" spans="1:7">
      <c r="A19" s="95">
        <v>1000</v>
      </c>
      <c r="B19" s="95">
        <v>1600</v>
      </c>
      <c r="C19" s="95">
        <f>A19*B19</f>
        <v>1600000</v>
      </c>
      <c r="D19" s="104"/>
      <c r="E19" s="104"/>
      <c r="F19" s="104"/>
      <c r="G19" s="104"/>
    </row>
    <row r="20" ht="18.75" spans="1:6">
      <c r="A20" s="106"/>
      <c r="B20" s="106"/>
      <c r="C20" s="106"/>
      <c r="D20" s="106"/>
      <c r="E20" s="106"/>
      <c r="F20" s="106"/>
    </row>
    <row r="21" ht="103.5" customHeight="1" spans="1:8">
      <c r="A21" s="107" t="s">
        <v>34</v>
      </c>
      <c r="B21" s="108" t="s">
        <v>35</v>
      </c>
      <c r="C21" s="109"/>
      <c r="D21" s="109"/>
      <c r="E21" s="109"/>
      <c r="F21" s="109"/>
      <c r="G21" s="109"/>
      <c r="H21" s="109"/>
    </row>
    <row r="22" spans="1:9">
      <c r="A22" s="110" t="s">
        <v>36</v>
      </c>
      <c r="B22" s="111"/>
      <c r="C22" s="111"/>
      <c r="D22" s="111"/>
      <c r="E22" s="111"/>
      <c r="F22" s="111"/>
      <c r="G22" s="111"/>
      <c r="H22" s="111"/>
      <c r="I22" s="111"/>
    </row>
    <row r="23" spans="1:9">
      <c r="A23" s="111"/>
      <c r="B23" s="111"/>
      <c r="C23" s="111"/>
      <c r="D23" s="111"/>
      <c r="E23" s="111"/>
      <c r="F23" s="111"/>
      <c r="G23" s="111"/>
      <c r="H23" s="111"/>
      <c r="I23" s="111"/>
    </row>
    <row r="24" spans="1:9">
      <c r="A24" s="111"/>
      <c r="B24" s="111"/>
      <c r="C24" s="111"/>
      <c r="D24" s="111"/>
      <c r="E24" s="111"/>
      <c r="F24" s="111"/>
      <c r="G24" s="111"/>
      <c r="H24" s="111"/>
      <c r="I24" s="111"/>
    </row>
    <row r="25" spans="1:9">
      <c r="A25" s="111"/>
      <c r="B25" s="111"/>
      <c r="C25" s="111"/>
      <c r="D25" s="111"/>
      <c r="E25" s="111"/>
      <c r="F25" s="111"/>
      <c r="G25" s="111"/>
      <c r="H25" s="111"/>
      <c r="I25" s="111"/>
    </row>
    <row r="26" spans="1:9">
      <c r="A26" s="111"/>
      <c r="B26" s="111"/>
      <c r="C26" s="111"/>
      <c r="D26" s="111"/>
      <c r="E26" s="111"/>
      <c r="F26" s="111"/>
      <c r="G26" s="111"/>
      <c r="H26" s="111"/>
      <c r="I26" s="111"/>
    </row>
    <row r="27" spans="1:9">
      <c r="A27" s="111"/>
      <c r="B27" s="111"/>
      <c r="C27" s="111"/>
      <c r="D27" s="111"/>
      <c r="E27" s="111"/>
      <c r="F27" s="111"/>
      <c r="G27" s="111"/>
      <c r="H27" s="111"/>
      <c r="I27" s="111"/>
    </row>
  </sheetData>
  <sheetProtection password="DF0A" sheet="1" objects="1"/>
  <mergeCells count="13">
    <mergeCell ref="A1:G1"/>
    <mergeCell ref="A2:D2"/>
    <mergeCell ref="B3:D3"/>
    <mergeCell ref="B4:D4"/>
    <mergeCell ref="B5:D5"/>
    <mergeCell ref="B6:D6"/>
    <mergeCell ref="A7:C7"/>
    <mergeCell ref="B8:C8"/>
    <mergeCell ref="A11:H11"/>
    <mergeCell ref="A17:C17"/>
    <mergeCell ref="B21:H21"/>
    <mergeCell ref="H13:H16"/>
    <mergeCell ref="A22:I27"/>
  </mergeCells>
  <pageMargins left="0.75" right="0.75" top="1" bottom="1" header="0.511805555555556" footer="0.511805555555556"/>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60"/>
  <sheetViews>
    <sheetView tabSelected="1" zoomScale="106" zoomScaleNormal="106" topLeftCell="E37" workbookViewId="0">
      <selection activeCell="E43" sqref="E43:N47"/>
    </sheetView>
  </sheetViews>
  <sheetFormatPr defaultColWidth="9" defaultRowHeight="13.5"/>
  <cols>
    <col min="1" max="1" width="9" style="1"/>
    <col min="2" max="2" width="19.75" style="1" customWidth="1"/>
    <col min="3" max="3" width="12.75" style="1" customWidth="1"/>
    <col min="4" max="4" width="11.25" style="1" customWidth="1"/>
    <col min="5" max="5" width="10.375" style="1" customWidth="1"/>
    <col min="6" max="6" width="11.25" style="1" customWidth="1"/>
    <col min="7" max="7" width="12.25" style="1" customWidth="1"/>
    <col min="8" max="10" width="9" style="1"/>
    <col min="11" max="11" width="10.25" style="1" customWidth="1"/>
    <col min="12" max="16" width="9" style="1"/>
    <col min="17" max="17" width="12" style="1" customWidth="1"/>
    <col min="18" max="18" width="9.875" style="1" customWidth="1"/>
    <col min="19" max="20" width="10.25" style="1" customWidth="1"/>
    <col min="21" max="21" width="11.75" style="1" customWidth="1"/>
    <col min="22" max="22" width="10.75" style="1" customWidth="1"/>
    <col min="23" max="23" width="10.375" style="1" customWidth="1"/>
    <col min="24" max="16384" width="9" style="1"/>
  </cols>
  <sheetData>
    <row r="1" ht="19.5" spans="1:23">
      <c r="A1" s="2" t="s">
        <v>37</v>
      </c>
      <c r="B1" s="2"/>
      <c r="C1" s="2"/>
      <c r="D1" s="2"/>
      <c r="E1" s="2"/>
      <c r="F1" s="2"/>
      <c r="G1" s="2"/>
      <c r="H1" s="2"/>
      <c r="I1" s="2"/>
      <c r="J1" s="2"/>
      <c r="K1" s="2"/>
      <c r="L1" s="2"/>
      <c r="M1" s="2"/>
      <c r="N1" s="2"/>
      <c r="O1" s="2"/>
      <c r="P1" s="2"/>
      <c r="Q1" s="2"/>
      <c r="R1" s="2"/>
      <c r="S1" s="2"/>
      <c r="T1" s="2"/>
      <c r="U1" s="2"/>
      <c r="V1" s="2"/>
      <c r="W1" s="2"/>
    </row>
    <row r="2" spans="1:23">
      <c r="A2" s="3" t="s">
        <v>38</v>
      </c>
      <c r="B2" s="4" t="s">
        <v>39</v>
      </c>
      <c r="C2" s="4">
        <v>1</v>
      </c>
      <c r="D2" s="4">
        <v>2</v>
      </c>
      <c r="E2" s="4">
        <v>3</v>
      </c>
      <c r="F2" s="4">
        <v>4</v>
      </c>
      <c r="G2" s="4">
        <v>5</v>
      </c>
      <c r="H2" s="4">
        <v>6</v>
      </c>
      <c r="I2" s="4">
        <v>7</v>
      </c>
      <c r="J2" s="4">
        <v>8</v>
      </c>
      <c r="K2" s="4">
        <v>9</v>
      </c>
      <c r="L2" s="4">
        <v>10</v>
      </c>
      <c r="M2" s="4">
        <v>11</v>
      </c>
      <c r="N2" s="4">
        <v>12</v>
      </c>
      <c r="O2" s="4">
        <v>13</v>
      </c>
      <c r="P2" s="4">
        <v>14</v>
      </c>
      <c r="Q2" s="4">
        <v>15</v>
      </c>
      <c r="R2" s="4">
        <v>16</v>
      </c>
      <c r="S2" s="4">
        <v>17</v>
      </c>
      <c r="T2" s="4">
        <v>18</v>
      </c>
      <c r="U2" s="4">
        <v>19</v>
      </c>
      <c r="V2" s="4">
        <v>20</v>
      </c>
      <c r="W2" s="4">
        <v>21</v>
      </c>
    </row>
    <row r="3" spans="1:23">
      <c r="A3" s="5" t="s">
        <v>40</v>
      </c>
      <c r="B3" s="6" t="s">
        <v>41</v>
      </c>
      <c r="C3" s="7"/>
      <c r="D3" s="7"/>
      <c r="E3" s="7"/>
      <c r="F3" s="7"/>
      <c r="G3" s="7"/>
      <c r="H3" s="7"/>
      <c r="I3" s="7"/>
      <c r="J3" s="7"/>
      <c r="K3" s="7"/>
      <c r="L3" s="7"/>
      <c r="M3" s="7"/>
      <c r="N3" s="7"/>
      <c r="O3" s="7"/>
      <c r="P3" s="7"/>
      <c r="Q3" s="7"/>
      <c r="R3" s="7"/>
      <c r="S3" s="7"/>
      <c r="T3" s="7"/>
      <c r="U3" s="7"/>
      <c r="V3" s="7"/>
      <c r="W3" s="7"/>
    </row>
    <row r="4" spans="1:23">
      <c r="A4" s="8">
        <v>1</v>
      </c>
      <c r="B4" s="9" t="s">
        <v>42</v>
      </c>
      <c r="C4" s="9"/>
      <c r="D4" s="10">
        <f>项目分析!C19</f>
        <v>1600000</v>
      </c>
      <c r="E4" s="11"/>
      <c r="F4" s="12"/>
      <c r="G4" s="13"/>
      <c r="H4" s="11"/>
      <c r="I4" s="11"/>
      <c r="J4" s="11"/>
      <c r="K4" s="11"/>
      <c r="L4" s="11"/>
      <c r="M4" s="11"/>
      <c r="N4" s="11"/>
      <c r="O4" s="11"/>
      <c r="P4" s="11"/>
      <c r="Q4" s="11"/>
      <c r="R4" s="11"/>
      <c r="S4" s="11"/>
      <c r="T4" s="11"/>
      <c r="U4" s="11"/>
      <c r="V4" s="11"/>
      <c r="W4" s="85"/>
    </row>
    <row r="5" spans="1:23">
      <c r="A5" s="8">
        <v>2</v>
      </c>
      <c r="B5" s="9" t="s">
        <v>43</v>
      </c>
      <c r="C5" s="9">
        <f>D5*1</f>
        <v>480000</v>
      </c>
      <c r="D5" s="14">
        <f>D4*0.3</f>
        <v>480000</v>
      </c>
      <c r="E5" s="11"/>
      <c r="F5" s="11"/>
      <c r="G5" s="11"/>
      <c r="H5" s="11"/>
      <c r="I5" s="11"/>
      <c r="J5" s="11"/>
      <c r="K5" s="11"/>
      <c r="L5" s="11"/>
      <c r="M5" s="11"/>
      <c r="N5" s="11"/>
      <c r="O5" s="11"/>
      <c r="P5" s="11"/>
      <c r="Q5" s="11"/>
      <c r="R5" s="11"/>
      <c r="S5" s="11"/>
      <c r="T5" s="11"/>
      <c r="U5" s="11"/>
      <c r="V5" s="11"/>
      <c r="W5" s="85"/>
    </row>
    <row r="6" spans="1:23">
      <c r="A6" s="8"/>
      <c r="B6" s="9" t="s">
        <v>44</v>
      </c>
      <c r="C6" s="9"/>
      <c r="D6" s="11"/>
      <c r="E6" s="15"/>
      <c r="F6" s="15"/>
      <c r="G6" s="15"/>
      <c r="H6" s="11"/>
      <c r="I6" s="11"/>
      <c r="J6" s="11"/>
      <c r="K6" s="11"/>
      <c r="L6" s="11"/>
      <c r="M6" s="11"/>
      <c r="N6" s="11"/>
      <c r="O6" s="11"/>
      <c r="P6" s="11"/>
      <c r="Q6" s="11"/>
      <c r="R6" s="11"/>
      <c r="S6" s="11"/>
      <c r="T6" s="11"/>
      <c r="U6" s="11"/>
      <c r="V6" s="11"/>
      <c r="W6" s="85"/>
    </row>
    <row r="7" spans="1:23">
      <c r="A7" s="8">
        <v>3</v>
      </c>
      <c r="B7" s="9" t="s">
        <v>45</v>
      </c>
      <c r="C7" s="16">
        <f>D7</f>
        <v>1120000</v>
      </c>
      <c r="D7" s="14">
        <f>D4-D5</f>
        <v>1120000</v>
      </c>
      <c r="E7" s="14">
        <f t="shared" ref="E7:M7" si="0">D7-D8</f>
        <v>953086.972659276</v>
      </c>
      <c r="F7" s="14">
        <f t="shared" si="0"/>
        <v>786173.945318551</v>
      </c>
      <c r="G7" s="14">
        <f t="shared" si="0"/>
        <v>619260.917977827</v>
      </c>
      <c r="H7" s="14">
        <f t="shared" si="0"/>
        <v>452347.890637102</v>
      </c>
      <c r="I7" s="14">
        <f t="shared" si="0"/>
        <v>285434.863296378</v>
      </c>
      <c r="J7" s="14">
        <f t="shared" si="0"/>
        <v>118521.835955654</v>
      </c>
      <c r="K7" s="14">
        <f t="shared" si="0"/>
        <v>-48391.1913850708</v>
      </c>
      <c r="L7" s="14">
        <f t="shared" si="0"/>
        <v>-215304.218725795</v>
      </c>
      <c r="M7" s="14">
        <f t="shared" si="0"/>
        <v>-382217.24606652</v>
      </c>
      <c r="N7" s="14"/>
      <c r="O7" s="14"/>
      <c r="P7" s="14"/>
      <c r="Q7" s="14"/>
      <c r="R7" s="14"/>
      <c r="S7" s="14"/>
      <c r="T7" s="14"/>
      <c r="U7" s="14"/>
      <c r="V7" s="14"/>
      <c r="W7" s="14"/>
    </row>
    <row r="8" spans="1:23">
      <c r="A8" s="8"/>
      <c r="B8" s="9" t="s">
        <v>46</v>
      </c>
      <c r="C8" s="9"/>
      <c r="D8" s="17">
        <f>(D7*0.08*((1+0.08)^10))/(((1+0.08)^10)-1)</f>
        <v>166913.027340724</v>
      </c>
      <c r="E8" s="18">
        <f t="shared" ref="E8:M8" si="1">D8</f>
        <v>166913.027340724</v>
      </c>
      <c r="F8" s="18">
        <f t="shared" si="1"/>
        <v>166913.027340724</v>
      </c>
      <c r="G8" s="18">
        <f t="shared" si="1"/>
        <v>166913.027340724</v>
      </c>
      <c r="H8" s="18">
        <f t="shared" si="1"/>
        <v>166913.027340724</v>
      </c>
      <c r="I8" s="18">
        <f t="shared" si="1"/>
        <v>166913.027340724</v>
      </c>
      <c r="J8" s="18">
        <f t="shared" si="1"/>
        <v>166913.027340724</v>
      </c>
      <c r="K8" s="18">
        <f t="shared" si="1"/>
        <v>166913.027340724</v>
      </c>
      <c r="L8" s="18">
        <f t="shared" si="1"/>
        <v>166913.027340724</v>
      </c>
      <c r="M8" s="18">
        <f t="shared" si="1"/>
        <v>166913.027340724</v>
      </c>
      <c r="N8" s="18"/>
      <c r="O8" s="18"/>
      <c r="P8" s="18"/>
      <c r="Q8" s="18"/>
      <c r="R8" s="18"/>
      <c r="S8" s="14"/>
      <c r="T8" s="14"/>
      <c r="U8" s="14"/>
      <c r="V8" s="14"/>
      <c r="W8" s="14"/>
    </row>
    <row r="9" spans="1:23">
      <c r="A9" s="8">
        <v>4</v>
      </c>
      <c r="B9" s="9" t="s">
        <v>47</v>
      </c>
      <c r="C9" s="19">
        <v>0.08</v>
      </c>
      <c r="D9" s="20"/>
      <c r="E9" s="20"/>
      <c r="F9" s="20"/>
      <c r="G9" s="20"/>
      <c r="H9" s="20"/>
      <c r="I9" s="20"/>
      <c r="J9" s="20"/>
      <c r="K9" s="20"/>
      <c r="L9" s="20"/>
      <c r="M9" s="20"/>
      <c r="N9" s="20"/>
      <c r="O9" s="20"/>
      <c r="P9" s="20"/>
      <c r="Q9" s="20"/>
      <c r="R9" s="20"/>
      <c r="S9" s="20"/>
      <c r="T9" s="20"/>
      <c r="U9" s="86"/>
      <c r="V9" s="87"/>
      <c r="W9" s="88"/>
    </row>
    <row r="10" spans="1:23">
      <c r="A10" s="21"/>
      <c r="B10" s="22" t="s">
        <v>48</v>
      </c>
      <c r="C10" s="23">
        <f t="shared" ref="C10:W10" si="2">1/(1+$C$9)^(C2-1)</f>
        <v>1</v>
      </c>
      <c r="D10" s="23">
        <f t="shared" si="2"/>
        <v>0.925925925925926</v>
      </c>
      <c r="E10" s="23">
        <f t="shared" si="2"/>
        <v>0.857338820301783</v>
      </c>
      <c r="F10" s="23">
        <f t="shared" si="2"/>
        <v>0.79383224102017</v>
      </c>
      <c r="G10" s="23">
        <f t="shared" si="2"/>
        <v>0.735029852796453</v>
      </c>
      <c r="H10" s="23">
        <f t="shared" si="2"/>
        <v>0.680583197033753</v>
      </c>
      <c r="I10" s="23">
        <f t="shared" si="2"/>
        <v>0.630169626883105</v>
      </c>
      <c r="J10" s="23">
        <f t="shared" si="2"/>
        <v>0.583490395262134</v>
      </c>
      <c r="K10" s="23">
        <f t="shared" si="2"/>
        <v>0.540268884501976</v>
      </c>
      <c r="L10" s="23">
        <f t="shared" si="2"/>
        <v>0.500248967131459</v>
      </c>
      <c r="M10" s="23">
        <f t="shared" si="2"/>
        <v>0.463193488084684</v>
      </c>
      <c r="N10" s="23">
        <f t="shared" si="2"/>
        <v>0.428882859337671</v>
      </c>
      <c r="O10" s="23">
        <f t="shared" si="2"/>
        <v>0.397113758645991</v>
      </c>
      <c r="P10" s="23">
        <f t="shared" si="2"/>
        <v>0.367697924672214</v>
      </c>
      <c r="Q10" s="23">
        <f t="shared" si="2"/>
        <v>0.340461041363161</v>
      </c>
      <c r="R10" s="23">
        <f t="shared" si="2"/>
        <v>0.31524170496589</v>
      </c>
      <c r="S10" s="23">
        <f t="shared" si="2"/>
        <v>0.291890467561009</v>
      </c>
      <c r="T10" s="23">
        <f t="shared" si="2"/>
        <v>0.270268951445379</v>
      </c>
      <c r="U10" s="23">
        <f t="shared" si="2"/>
        <v>0.250249029116092</v>
      </c>
      <c r="V10" s="23">
        <f t="shared" si="2"/>
        <v>0.231712063996381</v>
      </c>
      <c r="W10" s="23">
        <f t="shared" si="2"/>
        <v>0.214548207404057</v>
      </c>
    </row>
    <row r="11" spans="1:23">
      <c r="A11" s="24">
        <v>5</v>
      </c>
      <c r="B11" s="25" t="s">
        <v>49</v>
      </c>
      <c r="C11" s="26">
        <v>1000</v>
      </c>
      <c r="D11" s="27">
        <f>C11</f>
        <v>1000</v>
      </c>
      <c r="E11" s="28"/>
      <c r="F11" s="28"/>
      <c r="G11" s="29"/>
      <c r="H11" s="29"/>
      <c r="I11" s="29"/>
      <c r="J11" s="29"/>
      <c r="K11" s="29"/>
      <c r="L11" s="29"/>
      <c r="M11" s="29"/>
      <c r="N11" s="29"/>
      <c r="O11" s="29"/>
      <c r="P11" s="29"/>
      <c r="Q11" s="29"/>
      <c r="R11" s="29"/>
      <c r="S11" s="29"/>
      <c r="T11" s="29"/>
      <c r="U11" s="28"/>
      <c r="V11" s="28"/>
      <c r="W11" s="28"/>
    </row>
    <row r="12" spans="1:23">
      <c r="A12" s="24"/>
      <c r="B12" s="25" t="s">
        <v>50</v>
      </c>
      <c r="C12" s="25"/>
      <c r="D12" s="26">
        <v>360</v>
      </c>
      <c r="E12" s="28"/>
      <c r="F12" s="28"/>
      <c r="G12" s="29"/>
      <c r="H12" s="29"/>
      <c r="I12" s="29"/>
      <c r="J12" s="29"/>
      <c r="K12" s="29"/>
      <c r="L12" s="29"/>
      <c r="M12" s="29"/>
      <c r="N12" s="29"/>
      <c r="O12" s="29"/>
      <c r="P12" s="29"/>
      <c r="Q12" s="29"/>
      <c r="R12" s="29"/>
      <c r="S12" s="29"/>
      <c r="T12" s="29"/>
      <c r="U12" s="28"/>
      <c r="V12" s="28"/>
      <c r="W12" s="28"/>
    </row>
    <row r="13" spans="1:23">
      <c r="A13" s="24"/>
      <c r="B13" s="25" t="s">
        <v>51</v>
      </c>
      <c r="C13" s="25"/>
      <c r="D13" s="30">
        <v>360000</v>
      </c>
      <c r="E13" s="31"/>
      <c r="F13" s="31"/>
      <c r="G13" s="32"/>
      <c r="H13" s="32"/>
      <c r="I13" s="32"/>
      <c r="J13" s="32"/>
      <c r="K13" s="32"/>
      <c r="L13" s="32"/>
      <c r="M13" s="32"/>
      <c r="N13" s="32"/>
      <c r="O13" s="32"/>
      <c r="P13" s="32"/>
      <c r="Q13" s="32"/>
      <c r="R13" s="32"/>
      <c r="S13" s="32"/>
      <c r="T13" s="32"/>
      <c r="U13" s="32"/>
      <c r="V13" s="32"/>
      <c r="W13" s="32"/>
    </row>
    <row r="14" spans="1:23">
      <c r="A14" s="24"/>
      <c r="B14" s="25" t="s">
        <v>52</v>
      </c>
      <c r="C14" s="25"/>
      <c r="D14" s="32">
        <f>D11*D12</f>
        <v>360000</v>
      </c>
      <c r="E14" s="31"/>
      <c r="F14" s="31"/>
      <c r="G14" s="32"/>
      <c r="H14" s="32"/>
      <c r="I14" s="32"/>
      <c r="J14" s="32"/>
      <c r="K14" s="32"/>
      <c r="L14" s="32"/>
      <c r="M14" s="32"/>
      <c r="N14" s="32"/>
      <c r="O14" s="32"/>
      <c r="P14" s="32"/>
      <c r="Q14" s="32"/>
      <c r="R14" s="32"/>
      <c r="S14" s="32"/>
      <c r="T14" s="32"/>
      <c r="U14" s="32"/>
      <c r="V14" s="32"/>
      <c r="W14" s="32"/>
    </row>
    <row r="15" spans="1:23">
      <c r="A15" s="24"/>
      <c r="B15" s="25" t="s">
        <v>53</v>
      </c>
      <c r="C15" s="25"/>
      <c r="D15" s="32">
        <f>D13+D14</f>
        <v>720000</v>
      </c>
      <c r="E15" s="31"/>
      <c r="F15" s="31"/>
      <c r="G15" s="32"/>
      <c r="H15" s="32"/>
      <c r="I15" s="32"/>
      <c r="J15" s="32"/>
      <c r="K15" s="32"/>
      <c r="L15" s="32"/>
      <c r="M15" s="32"/>
      <c r="N15" s="32"/>
      <c r="O15" s="32"/>
      <c r="P15" s="32"/>
      <c r="Q15" s="32"/>
      <c r="R15" s="32"/>
      <c r="S15" s="32"/>
      <c r="T15" s="32"/>
      <c r="U15" s="32"/>
      <c r="V15" s="32"/>
      <c r="W15" s="32"/>
    </row>
    <row r="16" spans="1:23">
      <c r="A16" s="24">
        <v>6</v>
      </c>
      <c r="B16" s="25" t="s">
        <v>54</v>
      </c>
      <c r="C16" s="33">
        <v>0.457</v>
      </c>
      <c r="D16" s="33">
        <v>0.457</v>
      </c>
      <c r="E16" s="33">
        <v>0.457</v>
      </c>
      <c r="F16" s="33">
        <v>0.457</v>
      </c>
      <c r="G16" s="33">
        <v>0.457</v>
      </c>
      <c r="H16" s="33">
        <v>0.457</v>
      </c>
      <c r="I16" s="33">
        <v>0.457</v>
      </c>
      <c r="J16" s="33">
        <v>0.457</v>
      </c>
      <c r="K16" s="33">
        <v>0.457</v>
      </c>
      <c r="L16" s="33">
        <v>0.457</v>
      </c>
      <c r="M16" s="33">
        <v>0.457</v>
      </c>
      <c r="N16" s="33">
        <v>0.457</v>
      </c>
      <c r="O16" s="33">
        <v>0.457</v>
      </c>
      <c r="P16" s="33">
        <v>0.457</v>
      </c>
      <c r="Q16" s="33">
        <v>0.457</v>
      </c>
      <c r="R16" s="33">
        <v>0.457</v>
      </c>
      <c r="S16" s="33">
        <v>0.457</v>
      </c>
      <c r="T16" s="33">
        <v>0.457</v>
      </c>
      <c r="U16" s="33">
        <v>0.457</v>
      </c>
      <c r="V16" s="33">
        <v>0.457</v>
      </c>
      <c r="W16" s="33">
        <v>0.457</v>
      </c>
    </row>
    <row r="17" spans="1:23">
      <c r="A17" s="34" t="s">
        <v>55</v>
      </c>
      <c r="B17" s="35" t="s">
        <v>56</v>
      </c>
      <c r="C17" s="35"/>
      <c r="D17" s="36"/>
      <c r="E17" s="37"/>
      <c r="F17" s="37"/>
      <c r="G17" s="37"/>
      <c r="H17" s="37"/>
      <c r="I17" s="37"/>
      <c r="J17" s="37"/>
      <c r="K17" s="37"/>
      <c r="L17" s="37"/>
      <c r="M17" s="37"/>
      <c r="N17" s="37"/>
      <c r="O17" s="37"/>
      <c r="P17" s="37"/>
      <c r="Q17" s="37"/>
      <c r="R17" s="37"/>
      <c r="S17" s="37"/>
      <c r="T17" s="37"/>
      <c r="U17" s="37"/>
      <c r="V17" s="37"/>
      <c r="W17" s="37"/>
    </row>
    <row r="18" spans="1:23">
      <c r="A18" s="34"/>
      <c r="B18" s="25" t="s">
        <v>57</v>
      </c>
      <c r="C18" s="35"/>
      <c r="D18" s="37">
        <f>D15*D16</f>
        <v>329040</v>
      </c>
      <c r="E18" s="37">
        <f t="shared" ref="E18:W18" si="3">D18</f>
        <v>329040</v>
      </c>
      <c r="F18" s="37">
        <f t="shared" si="3"/>
        <v>329040</v>
      </c>
      <c r="G18" s="37">
        <f t="shared" si="3"/>
        <v>329040</v>
      </c>
      <c r="H18" s="37">
        <f t="shared" si="3"/>
        <v>329040</v>
      </c>
      <c r="I18" s="37">
        <f t="shared" si="3"/>
        <v>329040</v>
      </c>
      <c r="J18" s="37">
        <f t="shared" si="3"/>
        <v>329040</v>
      </c>
      <c r="K18" s="37">
        <f t="shared" si="3"/>
        <v>329040</v>
      </c>
      <c r="L18" s="37">
        <f t="shared" si="3"/>
        <v>329040</v>
      </c>
      <c r="M18" s="37">
        <f t="shared" si="3"/>
        <v>329040</v>
      </c>
      <c r="N18" s="37">
        <f t="shared" si="3"/>
        <v>329040</v>
      </c>
      <c r="O18" s="37">
        <f t="shared" si="3"/>
        <v>329040</v>
      </c>
      <c r="P18" s="37">
        <f t="shared" si="3"/>
        <v>329040</v>
      </c>
      <c r="Q18" s="37">
        <f t="shared" si="3"/>
        <v>329040</v>
      </c>
      <c r="R18" s="37">
        <f t="shared" si="3"/>
        <v>329040</v>
      </c>
      <c r="S18" s="37">
        <f t="shared" si="3"/>
        <v>329040</v>
      </c>
      <c r="T18" s="37">
        <f t="shared" si="3"/>
        <v>329040</v>
      </c>
      <c r="U18" s="37">
        <f t="shared" si="3"/>
        <v>329040</v>
      </c>
      <c r="V18" s="37">
        <f t="shared" si="3"/>
        <v>329040</v>
      </c>
      <c r="W18" s="37">
        <f t="shared" si="3"/>
        <v>329040</v>
      </c>
    </row>
    <row r="19" spans="1:23">
      <c r="A19" s="34"/>
      <c r="B19" s="25" t="s">
        <v>58</v>
      </c>
      <c r="C19" s="25"/>
      <c r="D19" s="36">
        <f>D18*0.06</f>
        <v>19742.4</v>
      </c>
      <c r="E19" s="36">
        <f t="shared" ref="E19:W19" si="4">E18*0.06</f>
        <v>19742.4</v>
      </c>
      <c r="F19" s="36">
        <f t="shared" si="4"/>
        <v>19742.4</v>
      </c>
      <c r="G19" s="36">
        <f t="shared" si="4"/>
        <v>19742.4</v>
      </c>
      <c r="H19" s="36">
        <f t="shared" si="4"/>
        <v>19742.4</v>
      </c>
      <c r="I19" s="36">
        <f t="shared" si="4"/>
        <v>19742.4</v>
      </c>
      <c r="J19" s="36">
        <f t="shared" si="4"/>
        <v>19742.4</v>
      </c>
      <c r="K19" s="36">
        <f t="shared" si="4"/>
        <v>19742.4</v>
      </c>
      <c r="L19" s="36">
        <f t="shared" si="4"/>
        <v>19742.4</v>
      </c>
      <c r="M19" s="36">
        <f t="shared" si="4"/>
        <v>19742.4</v>
      </c>
      <c r="N19" s="36">
        <f t="shared" si="4"/>
        <v>19742.4</v>
      </c>
      <c r="O19" s="36">
        <f t="shared" si="4"/>
        <v>19742.4</v>
      </c>
      <c r="P19" s="36">
        <f t="shared" si="4"/>
        <v>19742.4</v>
      </c>
      <c r="Q19" s="36">
        <f t="shared" si="4"/>
        <v>19742.4</v>
      </c>
      <c r="R19" s="36">
        <f t="shared" si="4"/>
        <v>19742.4</v>
      </c>
      <c r="S19" s="36">
        <f t="shared" si="4"/>
        <v>19742.4</v>
      </c>
      <c r="T19" s="36">
        <f t="shared" si="4"/>
        <v>19742.4</v>
      </c>
      <c r="U19" s="36">
        <f t="shared" si="4"/>
        <v>19742.4</v>
      </c>
      <c r="V19" s="36">
        <f t="shared" si="4"/>
        <v>19742.4</v>
      </c>
      <c r="W19" s="36">
        <f t="shared" si="4"/>
        <v>19742.4</v>
      </c>
    </row>
    <row r="20" spans="1:23">
      <c r="A20" s="34"/>
      <c r="B20" s="25" t="s">
        <v>59</v>
      </c>
      <c r="C20" s="25"/>
      <c r="D20" s="36">
        <f>D18-D19</f>
        <v>309297.6</v>
      </c>
      <c r="E20" s="36">
        <f t="shared" ref="E20:W20" si="5">E18-E19</f>
        <v>309297.6</v>
      </c>
      <c r="F20" s="36">
        <f t="shared" si="5"/>
        <v>309297.6</v>
      </c>
      <c r="G20" s="36">
        <f t="shared" si="5"/>
        <v>309297.6</v>
      </c>
      <c r="H20" s="36">
        <f t="shared" si="5"/>
        <v>309297.6</v>
      </c>
      <c r="I20" s="36">
        <f t="shared" si="5"/>
        <v>309297.6</v>
      </c>
      <c r="J20" s="36">
        <f t="shared" si="5"/>
        <v>309297.6</v>
      </c>
      <c r="K20" s="36">
        <f t="shared" si="5"/>
        <v>309297.6</v>
      </c>
      <c r="L20" s="36">
        <f t="shared" si="5"/>
        <v>309297.6</v>
      </c>
      <c r="M20" s="36">
        <f t="shared" si="5"/>
        <v>309297.6</v>
      </c>
      <c r="N20" s="36">
        <f t="shared" si="5"/>
        <v>309297.6</v>
      </c>
      <c r="O20" s="36">
        <f t="shared" si="5"/>
        <v>309297.6</v>
      </c>
      <c r="P20" s="36">
        <f t="shared" si="5"/>
        <v>309297.6</v>
      </c>
      <c r="Q20" s="36">
        <f t="shared" si="5"/>
        <v>309297.6</v>
      </c>
      <c r="R20" s="36">
        <f t="shared" si="5"/>
        <v>309297.6</v>
      </c>
      <c r="S20" s="36">
        <f t="shared" si="5"/>
        <v>309297.6</v>
      </c>
      <c r="T20" s="36">
        <f t="shared" si="5"/>
        <v>309297.6</v>
      </c>
      <c r="U20" s="36">
        <f t="shared" si="5"/>
        <v>309297.6</v>
      </c>
      <c r="V20" s="36">
        <f t="shared" si="5"/>
        <v>309297.6</v>
      </c>
      <c r="W20" s="36">
        <f t="shared" si="5"/>
        <v>309297.6</v>
      </c>
    </row>
    <row r="21" spans="1:23">
      <c r="A21" s="24" t="s">
        <v>60</v>
      </c>
      <c r="B21" s="38" t="s">
        <v>61</v>
      </c>
      <c r="C21" s="38"/>
      <c r="D21" s="37">
        <f>D22+D23</f>
        <v>62000</v>
      </c>
      <c r="E21" s="37">
        <f t="shared" ref="E21:W21" si="6">E22+E23</f>
        <v>62000</v>
      </c>
      <c r="F21" s="37">
        <f t="shared" si="6"/>
        <v>62000</v>
      </c>
      <c r="G21" s="37">
        <f t="shared" si="6"/>
        <v>62000</v>
      </c>
      <c r="H21" s="37">
        <f t="shared" si="6"/>
        <v>62000</v>
      </c>
      <c r="I21" s="37">
        <f t="shared" si="6"/>
        <v>62000</v>
      </c>
      <c r="J21" s="37">
        <f t="shared" si="6"/>
        <v>62000</v>
      </c>
      <c r="K21" s="37">
        <f t="shared" si="6"/>
        <v>62000</v>
      </c>
      <c r="L21" s="37">
        <f t="shared" si="6"/>
        <v>62000</v>
      </c>
      <c r="M21" s="37">
        <f t="shared" si="6"/>
        <v>62000</v>
      </c>
      <c r="N21" s="37">
        <f t="shared" si="6"/>
        <v>62000</v>
      </c>
      <c r="O21" s="37">
        <f t="shared" si="6"/>
        <v>62000</v>
      </c>
      <c r="P21" s="37">
        <f t="shared" si="6"/>
        <v>62000</v>
      </c>
      <c r="Q21" s="37">
        <f t="shared" si="6"/>
        <v>62000</v>
      </c>
      <c r="R21" s="37">
        <f t="shared" si="6"/>
        <v>62000</v>
      </c>
      <c r="S21" s="37">
        <f t="shared" si="6"/>
        <v>62000</v>
      </c>
      <c r="T21" s="37">
        <f t="shared" si="6"/>
        <v>62000</v>
      </c>
      <c r="U21" s="37">
        <f t="shared" si="6"/>
        <v>62000</v>
      </c>
      <c r="V21" s="37">
        <f t="shared" si="6"/>
        <v>62000</v>
      </c>
      <c r="W21" s="37">
        <f t="shared" si="6"/>
        <v>62000</v>
      </c>
    </row>
    <row r="22" spans="1:23">
      <c r="A22" s="24">
        <v>1</v>
      </c>
      <c r="B22" s="39" t="s">
        <v>62</v>
      </c>
      <c r="C22" s="40">
        <v>0.02</v>
      </c>
      <c r="D22" s="41">
        <f>D4*C22</f>
        <v>32000</v>
      </c>
      <c r="E22" s="41">
        <f t="shared" ref="E22:W22" si="7">D22</f>
        <v>32000</v>
      </c>
      <c r="F22" s="41">
        <f t="shared" si="7"/>
        <v>32000</v>
      </c>
      <c r="G22" s="41">
        <f t="shared" si="7"/>
        <v>32000</v>
      </c>
      <c r="H22" s="41">
        <f t="shared" si="7"/>
        <v>32000</v>
      </c>
      <c r="I22" s="41">
        <f t="shared" si="7"/>
        <v>32000</v>
      </c>
      <c r="J22" s="41">
        <f t="shared" si="7"/>
        <v>32000</v>
      </c>
      <c r="K22" s="41">
        <f t="shared" si="7"/>
        <v>32000</v>
      </c>
      <c r="L22" s="41">
        <f t="shared" si="7"/>
        <v>32000</v>
      </c>
      <c r="M22" s="41">
        <f t="shared" si="7"/>
        <v>32000</v>
      </c>
      <c r="N22" s="41">
        <f t="shared" si="7"/>
        <v>32000</v>
      </c>
      <c r="O22" s="41">
        <f t="shared" si="7"/>
        <v>32000</v>
      </c>
      <c r="P22" s="41">
        <f t="shared" si="7"/>
        <v>32000</v>
      </c>
      <c r="Q22" s="41">
        <f t="shared" si="7"/>
        <v>32000</v>
      </c>
      <c r="R22" s="41">
        <f t="shared" si="7"/>
        <v>32000</v>
      </c>
      <c r="S22" s="41">
        <f t="shared" si="7"/>
        <v>32000</v>
      </c>
      <c r="T22" s="41">
        <f t="shared" si="7"/>
        <v>32000</v>
      </c>
      <c r="U22" s="41">
        <f t="shared" si="7"/>
        <v>32000</v>
      </c>
      <c r="V22" s="41">
        <f t="shared" si="7"/>
        <v>32000</v>
      </c>
      <c r="W22" s="41">
        <f t="shared" si="7"/>
        <v>32000</v>
      </c>
    </row>
    <row r="23" spans="1:23">
      <c r="A23" s="24">
        <v>2</v>
      </c>
      <c r="B23" s="39" t="s">
        <v>63</v>
      </c>
      <c r="C23" s="42"/>
      <c r="D23" s="37">
        <v>30000</v>
      </c>
      <c r="E23" s="37">
        <f>D23</f>
        <v>30000</v>
      </c>
      <c r="F23" s="37">
        <f t="shared" ref="F23:W23" si="8">E23</f>
        <v>30000</v>
      </c>
      <c r="G23" s="37">
        <f t="shared" si="8"/>
        <v>30000</v>
      </c>
      <c r="H23" s="37">
        <f t="shared" si="8"/>
        <v>30000</v>
      </c>
      <c r="I23" s="37">
        <f t="shared" si="8"/>
        <v>30000</v>
      </c>
      <c r="J23" s="37">
        <f t="shared" si="8"/>
        <v>30000</v>
      </c>
      <c r="K23" s="37">
        <f t="shared" si="8"/>
        <v>30000</v>
      </c>
      <c r="L23" s="37">
        <f t="shared" si="8"/>
        <v>30000</v>
      </c>
      <c r="M23" s="37">
        <f t="shared" si="8"/>
        <v>30000</v>
      </c>
      <c r="N23" s="37">
        <f t="shared" si="8"/>
        <v>30000</v>
      </c>
      <c r="O23" s="37">
        <f t="shared" si="8"/>
        <v>30000</v>
      </c>
      <c r="P23" s="37">
        <f t="shared" si="8"/>
        <v>30000</v>
      </c>
      <c r="Q23" s="37">
        <f t="shared" si="8"/>
        <v>30000</v>
      </c>
      <c r="R23" s="37">
        <f t="shared" si="8"/>
        <v>30000</v>
      </c>
      <c r="S23" s="37">
        <f t="shared" si="8"/>
        <v>30000</v>
      </c>
      <c r="T23" s="37">
        <f t="shared" si="8"/>
        <v>30000</v>
      </c>
      <c r="U23" s="37">
        <f t="shared" si="8"/>
        <v>30000</v>
      </c>
      <c r="V23" s="37">
        <f t="shared" si="8"/>
        <v>30000</v>
      </c>
      <c r="W23" s="37">
        <f t="shared" si="8"/>
        <v>30000</v>
      </c>
    </row>
    <row r="24" spans="1:23">
      <c r="A24" s="24"/>
      <c r="B24" s="39" t="s">
        <v>64</v>
      </c>
      <c r="C24" s="43" t="s">
        <v>65</v>
      </c>
      <c r="D24" s="36"/>
      <c r="E24" s="36"/>
      <c r="F24" s="36"/>
      <c r="G24" s="36"/>
      <c r="H24" s="36"/>
      <c r="I24" s="36"/>
      <c r="J24" s="36"/>
      <c r="K24" s="36"/>
      <c r="L24" s="36"/>
      <c r="M24" s="36"/>
      <c r="N24" s="36"/>
      <c r="O24" s="36"/>
      <c r="P24" s="36"/>
      <c r="Q24" s="36"/>
      <c r="R24" s="36"/>
      <c r="S24" s="36"/>
      <c r="T24" s="36"/>
      <c r="U24" s="36"/>
      <c r="V24" s="36"/>
      <c r="W24" s="36"/>
    </row>
    <row r="25" spans="1:23">
      <c r="A25" s="24"/>
      <c r="B25" s="39" t="s">
        <v>66</v>
      </c>
      <c r="C25" s="43" t="s">
        <v>67</v>
      </c>
      <c r="D25" s="36"/>
      <c r="E25" s="36"/>
      <c r="F25" s="36"/>
      <c r="G25" s="36"/>
      <c r="H25" s="36"/>
      <c r="I25" s="36"/>
      <c r="J25" s="36"/>
      <c r="K25" s="36"/>
      <c r="L25" s="36"/>
      <c r="M25" s="36"/>
      <c r="N25" s="36"/>
      <c r="O25" s="36"/>
      <c r="P25" s="36"/>
      <c r="Q25" s="36"/>
      <c r="R25" s="36"/>
      <c r="S25" s="36"/>
      <c r="T25" s="36"/>
      <c r="U25" s="36"/>
      <c r="V25" s="36"/>
      <c r="W25" s="36"/>
    </row>
    <row r="26" spans="1:23">
      <c r="A26" s="24"/>
      <c r="B26" s="39" t="s">
        <v>68</v>
      </c>
      <c r="C26" s="43" t="s">
        <v>65</v>
      </c>
      <c r="D26" s="37"/>
      <c r="E26" s="37"/>
      <c r="F26" s="37"/>
      <c r="G26" s="37"/>
      <c r="H26" s="37"/>
      <c r="I26" s="37"/>
      <c r="J26" s="37"/>
      <c r="K26" s="37"/>
      <c r="L26" s="37"/>
      <c r="M26" s="37"/>
      <c r="N26" s="37"/>
      <c r="O26" s="37"/>
      <c r="P26" s="37"/>
      <c r="Q26" s="37"/>
      <c r="R26" s="37"/>
      <c r="S26" s="37"/>
      <c r="T26" s="37"/>
      <c r="U26" s="37"/>
      <c r="V26" s="37"/>
      <c r="W26" s="37"/>
    </row>
    <row r="27" spans="1:23">
      <c r="A27" s="44" t="s">
        <v>69</v>
      </c>
      <c r="B27" s="45" t="s">
        <v>70</v>
      </c>
      <c r="C27" s="45"/>
      <c r="D27" s="46">
        <f>D20-D21</f>
        <v>247297.6</v>
      </c>
      <c r="E27" s="46">
        <f t="shared" ref="E27:W27" si="9">E20-E21</f>
        <v>247297.6</v>
      </c>
      <c r="F27" s="46">
        <f t="shared" si="9"/>
        <v>247297.6</v>
      </c>
      <c r="G27" s="46">
        <f t="shared" si="9"/>
        <v>247297.6</v>
      </c>
      <c r="H27" s="46">
        <f t="shared" si="9"/>
        <v>247297.6</v>
      </c>
      <c r="I27" s="46">
        <f t="shared" si="9"/>
        <v>247297.6</v>
      </c>
      <c r="J27" s="46">
        <f t="shared" si="9"/>
        <v>247297.6</v>
      </c>
      <c r="K27" s="46">
        <f t="shared" si="9"/>
        <v>247297.6</v>
      </c>
      <c r="L27" s="46">
        <f t="shared" si="9"/>
        <v>247297.6</v>
      </c>
      <c r="M27" s="46">
        <f t="shared" si="9"/>
        <v>247297.6</v>
      </c>
      <c r="N27" s="46">
        <f t="shared" si="9"/>
        <v>247297.6</v>
      </c>
      <c r="O27" s="46">
        <f t="shared" si="9"/>
        <v>247297.6</v>
      </c>
      <c r="P27" s="46">
        <f t="shared" si="9"/>
        <v>247297.6</v>
      </c>
      <c r="Q27" s="46">
        <f t="shared" si="9"/>
        <v>247297.6</v>
      </c>
      <c r="R27" s="46">
        <f t="shared" si="9"/>
        <v>247297.6</v>
      </c>
      <c r="S27" s="46">
        <f t="shared" si="9"/>
        <v>247297.6</v>
      </c>
      <c r="T27" s="46">
        <f t="shared" si="9"/>
        <v>247297.6</v>
      </c>
      <c r="U27" s="46">
        <f t="shared" si="9"/>
        <v>247297.6</v>
      </c>
      <c r="V27" s="46">
        <f t="shared" si="9"/>
        <v>247297.6</v>
      </c>
      <c r="W27" s="46">
        <f t="shared" si="9"/>
        <v>247297.6</v>
      </c>
    </row>
    <row r="28" spans="1:23">
      <c r="A28" s="24">
        <v>1</v>
      </c>
      <c r="B28" s="39" t="s">
        <v>71</v>
      </c>
      <c r="C28" s="39"/>
      <c r="D28" s="47">
        <f t="shared" ref="D28:F28" si="10">D27*0.25*0</f>
        <v>0</v>
      </c>
      <c r="E28" s="47">
        <f t="shared" si="10"/>
        <v>0</v>
      </c>
      <c r="F28" s="47">
        <f t="shared" si="10"/>
        <v>0</v>
      </c>
      <c r="G28" s="47">
        <f>G27*0.25*0.5</f>
        <v>30912.2</v>
      </c>
      <c r="H28" s="47">
        <f t="shared" ref="H28:I28" si="11">H27*0.25*0.5</f>
        <v>30912.2</v>
      </c>
      <c r="I28" s="47">
        <f t="shared" si="11"/>
        <v>30912.2</v>
      </c>
      <c r="J28" s="46">
        <f t="shared" ref="J28:W28" si="12">J27*0.25</f>
        <v>61824.4</v>
      </c>
      <c r="K28" s="46">
        <f t="shared" si="12"/>
        <v>61824.4</v>
      </c>
      <c r="L28" s="46">
        <f t="shared" si="12"/>
        <v>61824.4</v>
      </c>
      <c r="M28" s="46">
        <f t="shared" si="12"/>
        <v>61824.4</v>
      </c>
      <c r="N28" s="46">
        <f t="shared" si="12"/>
        <v>61824.4</v>
      </c>
      <c r="O28" s="46">
        <f t="shared" si="12"/>
        <v>61824.4</v>
      </c>
      <c r="P28" s="46">
        <f t="shared" si="12"/>
        <v>61824.4</v>
      </c>
      <c r="Q28" s="46">
        <f t="shared" si="12"/>
        <v>61824.4</v>
      </c>
      <c r="R28" s="46">
        <f t="shared" si="12"/>
        <v>61824.4</v>
      </c>
      <c r="S28" s="46">
        <f t="shared" si="12"/>
        <v>61824.4</v>
      </c>
      <c r="T28" s="46">
        <f t="shared" si="12"/>
        <v>61824.4</v>
      </c>
      <c r="U28" s="46">
        <f t="shared" si="12"/>
        <v>61824.4</v>
      </c>
      <c r="V28" s="46">
        <f t="shared" si="12"/>
        <v>61824.4</v>
      </c>
      <c r="W28" s="46">
        <f t="shared" si="12"/>
        <v>61824.4</v>
      </c>
    </row>
    <row r="29" spans="1:23">
      <c r="A29" s="24">
        <v>2</v>
      </c>
      <c r="B29" s="48" t="s">
        <v>72</v>
      </c>
      <c r="C29" s="48"/>
      <c r="D29" s="46">
        <f>D27-D28</f>
        <v>247297.6</v>
      </c>
      <c r="E29" s="46">
        <f>E27-E28</f>
        <v>247297.6</v>
      </c>
      <c r="F29" s="46">
        <f t="shared" ref="F29:W29" si="13">F27-F28</f>
        <v>247297.6</v>
      </c>
      <c r="G29" s="46">
        <f t="shared" si="13"/>
        <v>216385.4</v>
      </c>
      <c r="H29" s="46">
        <f t="shared" si="13"/>
        <v>216385.4</v>
      </c>
      <c r="I29" s="46">
        <f t="shared" si="13"/>
        <v>216385.4</v>
      </c>
      <c r="J29" s="46">
        <f t="shared" si="13"/>
        <v>185473.2</v>
      </c>
      <c r="K29" s="46">
        <f t="shared" si="13"/>
        <v>185473.2</v>
      </c>
      <c r="L29" s="46">
        <f t="shared" si="13"/>
        <v>185473.2</v>
      </c>
      <c r="M29" s="46">
        <f t="shared" si="13"/>
        <v>185473.2</v>
      </c>
      <c r="N29" s="46">
        <f t="shared" si="13"/>
        <v>185473.2</v>
      </c>
      <c r="O29" s="46">
        <f t="shared" si="13"/>
        <v>185473.2</v>
      </c>
      <c r="P29" s="46">
        <f t="shared" si="13"/>
        <v>185473.2</v>
      </c>
      <c r="Q29" s="46">
        <f t="shared" si="13"/>
        <v>185473.2</v>
      </c>
      <c r="R29" s="46">
        <f t="shared" si="13"/>
        <v>185473.2</v>
      </c>
      <c r="S29" s="46">
        <f t="shared" si="13"/>
        <v>185473.2</v>
      </c>
      <c r="T29" s="46">
        <f t="shared" si="13"/>
        <v>185473.2</v>
      </c>
      <c r="U29" s="46">
        <f t="shared" si="13"/>
        <v>185473.2</v>
      </c>
      <c r="V29" s="46">
        <f t="shared" si="13"/>
        <v>185473.2</v>
      </c>
      <c r="W29" s="46">
        <f t="shared" si="13"/>
        <v>185473.2</v>
      </c>
    </row>
    <row r="30" spans="1:23">
      <c r="A30" s="49" t="s">
        <v>73</v>
      </c>
      <c r="B30" s="50" t="s">
        <v>74</v>
      </c>
      <c r="C30" s="50">
        <f>C31</f>
        <v>-480000</v>
      </c>
      <c r="D30" s="51">
        <f>D29+D22-D8</f>
        <v>112384.572659276</v>
      </c>
      <c r="E30" s="51">
        <f t="shared" ref="E30:M30" si="14">E29+E22-E8</f>
        <v>112384.572659276</v>
      </c>
      <c r="F30" s="51">
        <f t="shared" si="14"/>
        <v>112384.572659276</v>
      </c>
      <c r="G30" s="51">
        <f t="shared" si="14"/>
        <v>81472.3726592755</v>
      </c>
      <c r="H30" s="51">
        <f t="shared" si="14"/>
        <v>81472.3726592755</v>
      </c>
      <c r="I30" s="51">
        <f t="shared" si="14"/>
        <v>81472.3726592755</v>
      </c>
      <c r="J30" s="51">
        <f t="shared" si="14"/>
        <v>50560.1726592756</v>
      </c>
      <c r="K30" s="51">
        <f t="shared" si="14"/>
        <v>50560.1726592756</v>
      </c>
      <c r="L30" s="51">
        <f t="shared" si="14"/>
        <v>50560.1726592756</v>
      </c>
      <c r="M30" s="51">
        <f t="shared" si="14"/>
        <v>50560.1726592756</v>
      </c>
      <c r="N30" s="51">
        <f t="shared" ref="N30:W30" si="15">N29+N22-N8</f>
        <v>217473.2</v>
      </c>
      <c r="O30" s="51">
        <f t="shared" si="15"/>
        <v>217473.2</v>
      </c>
      <c r="P30" s="51">
        <f t="shared" si="15"/>
        <v>217473.2</v>
      </c>
      <c r="Q30" s="51">
        <f t="shared" si="15"/>
        <v>217473.2</v>
      </c>
      <c r="R30" s="51">
        <f t="shared" si="15"/>
        <v>217473.2</v>
      </c>
      <c r="S30" s="51">
        <f t="shared" si="15"/>
        <v>217473.2</v>
      </c>
      <c r="T30" s="51">
        <f t="shared" si="15"/>
        <v>217473.2</v>
      </c>
      <c r="U30" s="51">
        <f t="shared" si="15"/>
        <v>217473.2</v>
      </c>
      <c r="V30" s="51">
        <f t="shared" si="15"/>
        <v>217473.2</v>
      </c>
      <c r="W30" s="51">
        <f t="shared" si="15"/>
        <v>217473.2</v>
      </c>
    </row>
    <row r="31" spans="1:23">
      <c r="A31" s="52"/>
      <c r="B31" s="53" t="s">
        <v>75</v>
      </c>
      <c r="C31" s="53">
        <f>-C5</f>
        <v>-480000</v>
      </c>
      <c r="D31" s="54">
        <f>D29+D22-D8</f>
        <v>112384.572659276</v>
      </c>
      <c r="E31" s="54">
        <f t="shared" ref="E31:W31" si="16">E29+E22-E8</f>
        <v>112384.572659276</v>
      </c>
      <c r="F31" s="54">
        <f t="shared" si="16"/>
        <v>112384.572659276</v>
      </c>
      <c r="G31" s="54">
        <f t="shared" si="16"/>
        <v>81472.3726592755</v>
      </c>
      <c r="H31" s="54">
        <f t="shared" si="16"/>
        <v>81472.3726592755</v>
      </c>
      <c r="I31" s="54">
        <f t="shared" si="16"/>
        <v>81472.3726592755</v>
      </c>
      <c r="J31" s="54">
        <f t="shared" si="16"/>
        <v>50560.1726592756</v>
      </c>
      <c r="K31" s="54">
        <f t="shared" si="16"/>
        <v>50560.1726592756</v>
      </c>
      <c r="L31" s="54">
        <f t="shared" si="16"/>
        <v>50560.1726592756</v>
      </c>
      <c r="M31" s="54">
        <f t="shared" si="16"/>
        <v>50560.1726592756</v>
      </c>
      <c r="N31" s="54">
        <f t="shared" si="16"/>
        <v>217473.2</v>
      </c>
      <c r="O31" s="54">
        <f t="shared" si="16"/>
        <v>217473.2</v>
      </c>
      <c r="P31" s="54">
        <f t="shared" si="16"/>
        <v>217473.2</v>
      </c>
      <c r="Q31" s="54">
        <f t="shared" si="16"/>
        <v>217473.2</v>
      </c>
      <c r="R31" s="54">
        <f t="shared" si="16"/>
        <v>217473.2</v>
      </c>
      <c r="S31" s="54">
        <f t="shared" si="16"/>
        <v>217473.2</v>
      </c>
      <c r="T31" s="54">
        <f t="shared" si="16"/>
        <v>217473.2</v>
      </c>
      <c r="U31" s="54">
        <f t="shared" si="16"/>
        <v>217473.2</v>
      </c>
      <c r="V31" s="54">
        <f t="shared" si="16"/>
        <v>217473.2</v>
      </c>
      <c r="W31" s="54">
        <f t="shared" si="16"/>
        <v>217473.2</v>
      </c>
    </row>
    <row r="32" spans="1:23">
      <c r="A32" s="55"/>
      <c r="B32" s="56" t="s">
        <v>76</v>
      </c>
      <c r="C32" s="55">
        <f t="shared" ref="C32:W32" si="17">C30*C10</f>
        <v>-480000</v>
      </c>
      <c r="D32" s="55">
        <f t="shared" si="17"/>
        <v>104059.789499329</v>
      </c>
      <c r="E32" s="55">
        <f t="shared" si="17"/>
        <v>96351.6569438233</v>
      </c>
      <c r="F32" s="55">
        <f t="shared" si="17"/>
        <v>89214.4971702068</v>
      </c>
      <c r="G32" s="55">
        <f t="shared" si="17"/>
        <v>59884.6260827251</v>
      </c>
      <c r="H32" s="55">
        <f t="shared" si="17"/>
        <v>55448.7278543751</v>
      </c>
      <c r="I32" s="55">
        <f t="shared" si="17"/>
        <v>51341.4146799769</v>
      </c>
      <c r="J32" s="55">
        <f t="shared" si="17"/>
        <v>29501.3751294824</v>
      </c>
      <c r="K32" s="55">
        <f t="shared" si="17"/>
        <v>27316.0880828541</v>
      </c>
      <c r="L32" s="55">
        <f t="shared" si="17"/>
        <v>25292.6741507908</v>
      </c>
      <c r="M32" s="55">
        <f t="shared" si="17"/>
        <v>23419.1427322137</v>
      </c>
      <c r="N32" s="55">
        <f t="shared" si="17"/>
        <v>93270.5278453131</v>
      </c>
      <c r="O32" s="55">
        <f t="shared" si="17"/>
        <v>86361.5998567714</v>
      </c>
      <c r="P32" s="55">
        <f t="shared" si="17"/>
        <v>79964.4443118254</v>
      </c>
      <c r="Q32" s="55">
        <f t="shared" si="17"/>
        <v>74041.152140579</v>
      </c>
      <c r="R32" s="55">
        <f t="shared" si="17"/>
        <v>68556.622352388</v>
      </c>
      <c r="S32" s="55">
        <f t="shared" si="17"/>
        <v>63478.3540299889</v>
      </c>
      <c r="T32" s="55">
        <f t="shared" si="17"/>
        <v>58776.2537314712</v>
      </c>
      <c r="U32" s="55">
        <f t="shared" si="17"/>
        <v>54422.4571587696</v>
      </c>
      <c r="V32" s="55">
        <f t="shared" si="17"/>
        <v>50391.1640358978</v>
      </c>
      <c r="W32" s="55">
        <f t="shared" si="17"/>
        <v>46658.4852184239</v>
      </c>
    </row>
    <row r="33" spans="1:23">
      <c r="A33" s="57"/>
      <c r="B33" s="58" t="s">
        <v>77</v>
      </c>
      <c r="C33" s="59">
        <f>-D4</f>
        <v>-1600000</v>
      </c>
      <c r="D33" s="59">
        <f>D31+D8</f>
        <v>279297.6</v>
      </c>
      <c r="E33" s="59">
        <f t="shared" ref="E33:W33" si="18">E31+E8</f>
        <v>279297.6</v>
      </c>
      <c r="F33" s="59">
        <f t="shared" si="18"/>
        <v>279297.6</v>
      </c>
      <c r="G33" s="59">
        <f t="shared" si="18"/>
        <v>248385.4</v>
      </c>
      <c r="H33" s="59">
        <f t="shared" si="18"/>
        <v>248385.4</v>
      </c>
      <c r="I33" s="59">
        <f t="shared" si="18"/>
        <v>248385.4</v>
      </c>
      <c r="J33" s="59">
        <f t="shared" si="18"/>
        <v>217473.2</v>
      </c>
      <c r="K33" s="59">
        <f t="shared" si="18"/>
        <v>217473.2</v>
      </c>
      <c r="L33" s="59">
        <f t="shared" si="18"/>
        <v>217473.2</v>
      </c>
      <c r="M33" s="59">
        <f t="shared" si="18"/>
        <v>217473.2</v>
      </c>
      <c r="N33" s="59">
        <f t="shared" si="18"/>
        <v>217473.2</v>
      </c>
      <c r="O33" s="59">
        <f t="shared" si="18"/>
        <v>217473.2</v>
      </c>
      <c r="P33" s="59">
        <f t="shared" si="18"/>
        <v>217473.2</v>
      </c>
      <c r="Q33" s="59">
        <f t="shared" si="18"/>
        <v>217473.2</v>
      </c>
      <c r="R33" s="59">
        <f t="shared" si="18"/>
        <v>217473.2</v>
      </c>
      <c r="S33" s="59">
        <f t="shared" si="18"/>
        <v>217473.2</v>
      </c>
      <c r="T33" s="59">
        <f t="shared" si="18"/>
        <v>217473.2</v>
      </c>
      <c r="U33" s="59">
        <f t="shared" si="18"/>
        <v>217473.2</v>
      </c>
      <c r="V33" s="59">
        <f t="shared" si="18"/>
        <v>217473.2</v>
      </c>
      <c r="W33" s="59">
        <f t="shared" si="18"/>
        <v>217473.2</v>
      </c>
    </row>
    <row r="34" ht="14.25" spans="1:23">
      <c r="A34" s="60"/>
      <c r="B34" s="61" t="s">
        <v>78</v>
      </c>
      <c r="C34" s="62">
        <f>SUM(C33:AB33)</f>
        <v>3027673.8</v>
      </c>
      <c r="D34" s="63"/>
      <c r="E34" s="64"/>
      <c r="F34" s="64"/>
      <c r="G34" s="64"/>
      <c r="H34" s="64"/>
      <c r="I34" s="64"/>
      <c r="J34" s="64"/>
      <c r="K34" s="64"/>
      <c r="L34" s="64"/>
      <c r="M34" s="64"/>
      <c r="N34" s="64"/>
      <c r="O34" s="64"/>
      <c r="P34" s="64"/>
      <c r="Q34" s="64"/>
      <c r="R34" s="64"/>
      <c r="S34" s="64"/>
      <c r="T34" s="64"/>
      <c r="U34" s="64"/>
      <c r="V34" s="64"/>
      <c r="W34" s="64"/>
    </row>
    <row r="35" ht="14.25" spans="1:23">
      <c r="A35" s="65"/>
      <c r="B35" s="66" t="s">
        <v>79</v>
      </c>
      <c r="C35" s="67">
        <f>IRR(C31:AB31)</f>
        <v>0.218362451613467</v>
      </c>
      <c r="D35" s="68"/>
      <c r="E35" s="69" t="s">
        <v>80</v>
      </c>
      <c r="F35" s="69"/>
      <c r="G35" s="69"/>
      <c r="H35" s="69"/>
      <c r="I35" s="69"/>
      <c r="J35" s="68"/>
      <c r="K35" s="68"/>
      <c r="L35" s="68"/>
      <c r="M35" s="68"/>
      <c r="N35" s="68"/>
      <c r="O35" s="68"/>
      <c r="P35" s="68"/>
      <c r="Q35" s="68"/>
      <c r="R35" s="68"/>
      <c r="S35" s="68"/>
      <c r="T35" s="68"/>
      <c r="U35" s="68"/>
      <c r="V35" s="68"/>
      <c r="W35" s="68"/>
    </row>
    <row r="36" ht="14.25" spans="1:23">
      <c r="A36" s="65"/>
      <c r="B36" s="70" t="s">
        <v>81</v>
      </c>
      <c r="C36" s="71">
        <f>IRR(C33:W33)</f>
        <v>0.143759148140214</v>
      </c>
      <c r="D36" s="68"/>
      <c r="E36" s="69" t="s">
        <v>82</v>
      </c>
      <c r="F36" s="69"/>
      <c r="G36" s="69"/>
      <c r="H36" s="69"/>
      <c r="I36" s="69"/>
      <c r="J36" s="68"/>
      <c r="K36" s="68"/>
      <c r="L36" s="68"/>
      <c r="M36" s="68"/>
      <c r="N36" s="68"/>
      <c r="O36" s="68"/>
      <c r="P36" s="68"/>
      <c r="Q36" s="68"/>
      <c r="R36" s="68"/>
      <c r="S36" s="68"/>
      <c r="T36" s="68"/>
      <c r="U36" s="68"/>
      <c r="V36" s="68"/>
      <c r="W36" s="68"/>
    </row>
    <row r="37" spans="1:23">
      <c r="A37" s="65"/>
      <c r="B37" s="72" t="s">
        <v>83</v>
      </c>
      <c r="C37" s="72">
        <f>C31</f>
        <v>-480000</v>
      </c>
      <c r="D37" s="73">
        <f t="shared" ref="D37:W37" si="19">C37+D31</f>
        <v>-367615.427340724</v>
      </c>
      <c r="E37" s="73">
        <f t="shared" si="19"/>
        <v>-255230.854681449</v>
      </c>
      <c r="F37" s="73">
        <f t="shared" si="19"/>
        <v>-142846.282022173</v>
      </c>
      <c r="G37" s="73">
        <f t="shared" si="19"/>
        <v>-61373.9093628978</v>
      </c>
      <c r="H37" s="73">
        <f t="shared" si="19"/>
        <v>20098.4632963777</v>
      </c>
      <c r="I37" s="73">
        <f t="shared" si="19"/>
        <v>101570.835955653</v>
      </c>
      <c r="J37" s="73">
        <f t="shared" si="19"/>
        <v>152131.008614929</v>
      </c>
      <c r="K37" s="73">
        <f t="shared" si="19"/>
        <v>202691.181274204</v>
      </c>
      <c r="L37" s="73">
        <f t="shared" si="19"/>
        <v>253251.35393348</v>
      </c>
      <c r="M37" s="73">
        <f t="shared" si="19"/>
        <v>303811.526592756</v>
      </c>
      <c r="N37" s="73">
        <f t="shared" si="19"/>
        <v>521284.726592756</v>
      </c>
      <c r="O37" s="73">
        <f t="shared" si="19"/>
        <v>738757.926592755</v>
      </c>
      <c r="P37" s="73">
        <f t="shared" si="19"/>
        <v>956231.126592755</v>
      </c>
      <c r="Q37" s="73">
        <f t="shared" si="19"/>
        <v>1173704.32659276</v>
      </c>
      <c r="R37" s="73">
        <f t="shared" si="19"/>
        <v>1391177.52659276</v>
      </c>
      <c r="S37" s="73">
        <f t="shared" si="19"/>
        <v>1608650.72659276</v>
      </c>
      <c r="T37" s="73">
        <f t="shared" si="19"/>
        <v>1826123.92659276</v>
      </c>
      <c r="U37" s="73">
        <f t="shared" si="19"/>
        <v>2043597.12659276</v>
      </c>
      <c r="V37" s="73">
        <f t="shared" si="19"/>
        <v>2261070.32659276</v>
      </c>
      <c r="W37" s="73">
        <f t="shared" si="19"/>
        <v>2478543.52659276</v>
      </c>
    </row>
    <row r="38" spans="1:23">
      <c r="A38" s="65"/>
      <c r="B38" s="72" t="s">
        <v>84</v>
      </c>
      <c r="C38" s="74">
        <f>J2-J37/K31</f>
        <v>4.99109000991476</v>
      </c>
      <c r="D38" s="75"/>
      <c r="E38" s="75"/>
      <c r="F38" s="75"/>
      <c r="G38" s="75"/>
      <c r="H38" s="75"/>
      <c r="I38" s="75"/>
      <c r="J38" s="75"/>
      <c r="K38" s="75"/>
      <c r="L38" s="75"/>
      <c r="M38" s="75"/>
      <c r="N38" s="75"/>
      <c r="O38" s="75"/>
      <c r="P38" s="75"/>
      <c r="Q38" s="75"/>
      <c r="R38" s="75"/>
      <c r="S38" s="75"/>
      <c r="T38" s="75"/>
      <c r="U38" s="75"/>
      <c r="V38" s="75"/>
      <c r="W38" s="75"/>
    </row>
    <row r="39" ht="90" spans="1:23">
      <c r="A39" s="65"/>
      <c r="B39" s="72" t="s">
        <v>85</v>
      </c>
      <c r="C39" s="76" t="s">
        <v>86</v>
      </c>
      <c r="D39" s="76"/>
      <c r="E39" s="76"/>
      <c r="F39" s="76"/>
      <c r="G39" s="76"/>
      <c r="H39" s="68"/>
      <c r="I39" s="68"/>
      <c r="J39" s="68"/>
      <c r="K39" s="68"/>
      <c r="L39" s="68"/>
      <c r="M39" s="68"/>
      <c r="N39" s="68"/>
      <c r="O39" s="68"/>
      <c r="P39" s="68"/>
      <c r="Q39" s="68"/>
      <c r="R39" s="68"/>
      <c r="S39" s="68"/>
      <c r="T39" s="68"/>
      <c r="U39" s="68"/>
      <c r="V39" s="68"/>
      <c r="W39" s="68"/>
    </row>
    <row r="40" ht="72.95" customHeight="1" spans="1:23">
      <c r="A40" s="65"/>
      <c r="B40" s="76" t="s">
        <v>87</v>
      </c>
      <c r="C40" s="72"/>
      <c r="D40" s="68"/>
      <c r="E40" s="68"/>
      <c r="F40" s="68"/>
      <c r="G40" s="77"/>
      <c r="H40" s="68"/>
      <c r="I40" s="68"/>
      <c r="J40" s="68"/>
      <c r="K40" s="68"/>
      <c r="L40" s="68"/>
      <c r="M40" s="68"/>
      <c r="N40" s="68"/>
      <c r="O40" s="68"/>
      <c r="P40" s="68"/>
      <c r="Q40" s="68"/>
      <c r="R40" s="68"/>
      <c r="S40" s="68"/>
      <c r="T40" s="68"/>
      <c r="U40" s="68"/>
      <c r="V40" s="68"/>
      <c r="W40" s="68"/>
    </row>
    <row r="41" ht="80.25" customHeight="1" spans="1:23">
      <c r="A41" s="78" t="s">
        <v>34</v>
      </c>
      <c r="B41" s="79" t="s">
        <v>88</v>
      </c>
      <c r="C41" s="79"/>
      <c r="D41" s="79"/>
      <c r="E41" s="79"/>
      <c r="F41" s="79"/>
      <c r="G41" s="79"/>
      <c r="H41" s="79"/>
      <c r="I41" s="79"/>
      <c r="J41" s="79"/>
      <c r="K41" s="68"/>
      <c r="L41" s="68"/>
      <c r="M41" s="68"/>
      <c r="N41" s="68"/>
      <c r="O41" s="68"/>
      <c r="P41" s="68"/>
      <c r="Q41" s="68"/>
      <c r="R41" s="68"/>
      <c r="S41" s="68"/>
      <c r="T41" s="68"/>
      <c r="U41" s="68"/>
      <c r="V41" s="68"/>
      <c r="W41" s="68"/>
    </row>
    <row r="42" spans="1:23">
      <c r="A42" s="80"/>
      <c r="B42" s="81"/>
      <c r="C42" s="81"/>
      <c r="D42" s="82"/>
      <c r="E42" s="82"/>
      <c r="F42" s="82"/>
      <c r="G42" s="82"/>
      <c r="H42" s="82"/>
      <c r="I42" s="82"/>
      <c r="J42" s="82"/>
      <c r="K42" s="82"/>
      <c r="L42" s="82"/>
      <c r="M42" s="82"/>
      <c r="N42" s="82"/>
      <c r="O42" s="82"/>
      <c r="P42" s="82"/>
      <c r="Q42" s="82"/>
      <c r="R42" s="82"/>
      <c r="S42" s="82"/>
      <c r="T42" s="82"/>
      <c r="U42" s="82"/>
      <c r="V42" s="82"/>
      <c r="W42" s="82"/>
    </row>
    <row r="43" spans="1:23">
      <c r="A43" s="80"/>
      <c r="B43" s="81"/>
      <c r="C43" s="81"/>
      <c r="D43" s="82"/>
      <c r="E43" s="83" t="s">
        <v>36</v>
      </c>
      <c r="F43" s="84"/>
      <c r="G43" s="84"/>
      <c r="H43" s="84"/>
      <c r="I43" s="84"/>
      <c r="J43" s="84"/>
      <c r="K43" s="84"/>
      <c r="L43" s="84"/>
      <c r="M43" s="84"/>
      <c r="N43" s="84"/>
      <c r="O43" s="82"/>
      <c r="P43" s="82"/>
      <c r="Q43" s="82"/>
      <c r="R43" s="82"/>
      <c r="S43" s="82"/>
      <c r="T43" s="82"/>
      <c r="U43" s="82"/>
      <c r="V43" s="82"/>
      <c r="W43" s="82"/>
    </row>
    <row r="44" spans="1:23">
      <c r="A44" s="80"/>
      <c r="B44" s="81"/>
      <c r="C44" s="81"/>
      <c r="D44" s="82"/>
      <c r="E44" s="84"/>
      <c r="F44" s="84"/>
      <c r="G44" s="84"/>
      <c r="H44" s="84"/>
      <c r="I44" s="84"/>
      <c r="J44" s="84"/>
      <c r="K44" s="84"/>
      <c r="L44" s="84"/>
      <c r="M44" s="84"/>
      <c r="N44" s="84"/>
      <c r="O44" s="82"/>
      <c r="P44" s="82"/>
      <c r="Q44" s="82"/>
      <c r="R44" s="82"/>
      <c r="S44" s="82"/>
      <c r="T44" s="82"/>
      <c r="U44" s="82"/>
      <c r="V44" s="82"/>
      <c r="W44" s="82"/>
    </row>
    <row r="45" spans="1:23">
      <c r="A45" s="80"/>
      <c r="B45" s="81"/>
      <c r="C45" s="81"/>
      <c r="D45" s="82"/>
      <c r="E45" s="84"/>
      <c r="F45" s="84"/>
      <c r="G45" s="84"/>
      <c r="H45" s="84"/>
      <c r="I45" s="84"/>
      <c r="J45" s="84"/>
      <c r="K45" s="84"/>
      <c r="L45" s="84"/>
      <c r="M45" s="84"/>
      <c r="N45" s="84"/>
      <c r="O45" s="82"/>
      <c r="P45" s="82"/>
      <c r="Q45" s="82"/>
      <c r="R45" s="82"/>
      <c r="S45" s="82"/>
      <c r="T45" s="82"/>
      <c r="U45" s="82"/>
      <c r="V45" s="82"/>
      <c r="W45" s="82"/>
    </row>
    <row r="46" spans="1:23">
      <c r="A46" s="80"/>
      <c r="B46" s="81"/>
      <c r="C46" s="81"/>
      <c r="D46" s="82"/>
      <c r="E46" s="84"/>
      <c r="F46" s="84"/>
      <c r="G46" s="84"/>
      <c r="H46" s="84"/>
      <c r="I46" s="84"/>
      <c r="J46" s="84"/>
      <c r="K46" s="84"/>
      <c r="L46" s="84"/>
      <c r="M46" s="84"/>
      <c r="N46" s="84"/>
      <c r="O46" s="82"/>
      <c r="P46" s="82"/>
      <c r="Q46" s="82"/>
      <c r="R46" s="82"/>
      <c r="S46" s="82"/>
      <c r="T46" s="82"/>
      <c r="U46" s="82"/>
      <c r="V46" s="82"/>
      <c r="W46" s="82"/>
    </row>
    <row r="47" spans="1:23">
      <c r="A47" s="80"/>
      <c r="B47" s="81"/>
      <c r="C47" s="81"/>
      <c r="D47" s="82"/>
      <c r="E47" s="84"/>
      <c r="F47" s="84"/>
      <c r="G47" s="84"/>
      <c r="H47" s="84"/>
      <c r="I47" s="84"/>
      <c r="J47" s="84"/>
      <c r="K47" s="84"/>
      <c r="L47" s="84"/>
      <c r="M47" s="84"/>
      <c r="N47" s="84"/>
      <c r="O47" s="82"/>
      <c r="P47" s="82"/>
      <c r="Q47" s="82"/>
      <c r="R47" s="82"/>
      <c r="S47" s="82"/>
      <c r="T47" s="82"/>
      <c r="U47" s="82"/>
      <c r="V47" s="82"/>
      <c r="W47" s="82"/>
    </row>
    <row r="48" spans="1:23">
      <c r="A48" s="80"/>
      <c r="B48" s="81"/>
      <c r="C48" s="81"/>
      <c r="D48" s="82"/>
      <c r="E48" s="82"/>
      <c r="F48" s="82"/>
      <c r="G48" s="82"/>
      <c r="H48" s="82"/>
      <c r="I48" s="82"/>
      <c r="J48" s="82"/>
      <c r="K48" s="82"/>
      <c r="L48" s="82"/>
      <c r="M48" s="82"/>
      <c r="N48" s="82"/>
      <c r="O48" s="82"/>
      <c r="P48" s="82"/>
      <c r="Q48" s="82"/>
      <c r="R48" s="82"/>
      <c r="S48" s="82"/>
      <c r="T48" s="82"/>
      <c r="U48" s="82"/>
      <c r="V48" s="82"/>
      <c r="W48" s="82"/>
    </row>
    <row r="49" spans="1:23">
      <c r="A49" s="80"/>
      <c r="B49" s="81"/>
      <c r="C49" s="81"/>
      <c r="D49" s="82"/>
      <c r="E49" s="82"/>
      <c r="F49" s="82"/>
      <c r="G49" s="82"/>
      <c r="H49" s="82"/>
      <c r="I49" s="82"/>
      <c r="J49" s="82"/>
      <c r="K49" s="82"/>
      <c r="L49" s="82"/>
      <c r="M49" s="82"/>
      <c r="N49" s="82"/>
      <c r="O49" s="82"/>
      <c r="P49" s="82"/>
      <c r="Q49" s="82"/>
      <c r="R49" s="82"/>
      <c r="S49" s="82"/>
      <c r="T49" s="82"/>
      <c r="U49" s="82"/>
      <c r="V49" s="82"/>
      <c r="W49" s="82"/>
    </row>
    <row r="50" spans="1:23">
      <c r="A50" s="80"/>
      <c r="B50" s="81"/>
      <c r="C50" s="81"/>
      <c r="D50" s="82"/>
      <c r="E50" s="82"/>
      <c r="F50" s="82"/>
      <c r="G50" s="82"/>
      <c r="H50" s="82"/>
      <c r="I50" s="82"/>
      <c r="J50" s="82"/>
      <c r="K50" s="82"/>
      <c r="L50" s="82"/>
      <c r="M50" s="82"/>
      <c r="N50" s="82"/>
      <c r="O50" s="82"/>
      <c r="P50" s="82"/>
      <c r="Q50" s="82"/>
      <c r="R50" s="82"/>
      <c r="S50" s="82"/>
      <c r="T50" s="82"/>
      <c r="U50" s="82"/>
      <c r="V50" s="82"/>
      <c r="W50" s="82"/>
    </row>
    <row r="51" spans="1:23">
      <c r="A51" s="80"/>
      <c r="B51" s="81"/>
      <c r="C51" s="81"/>
      <c r="D51" s="82"/>
      <c r="E51" s="82"/>
      <c r="F51" s="82"/>
      <c r="G51" s="82"/>
      <c r="H51" s="82"/>
      <c r="I51" s="82"/>
      <c r="J51" s="82"/>
      <c r="K51" s="82"/>
      <c r="L51" s="82"/>
      <c r="M51" s="82"/>
      <c r="N51" s="82"/>
      <c r="O51" s="82"/>
      <c r="P51" s="82"/>
      <c r="Q51" s="82"/>
      <c r="R51" s="82"/>
      <c r="S51" s="82"/>
      <c r="T51" s="82"/>
      <c r="U51" s="82"/>
      <c r="V51" s="82"/>
      <c r="W51" s="82"/>
    </row>
    <row r="52" spans="1:23">
      <c r="A52" s="80"/>
      <c r="B52" s="81"/>
      <c r="C52" s="81"/>
      <c r="D52" s="82"/>
      <c r="E52" s="82"/>
      <c r="F52" s="82"/>
      <c r="G52" s="82"/>
      <c r="H52" s="82"/>
      <c r="I52" s="82"/>
      <c r="J52" s="82"/>
      <c r="K52" s="82"/>
      <c r="L52" s="82"/>
      <c r="M52" s="82"/>
      <c r="N52" s="82"/>
      <c r="O52" s="82"/>
      <c r="P52" s="82"/>
      <c r="Q52" s="82"/>
      <c r="R52" s="82"/>
      <c r="S52" s="82"/>
      <c r="T52" s="82"/>
      <c r="U52" s="82"/>
      <c r="V52" s="82"/>
      <c r="W52" s="82"/>
    </row>
    <row r="53" spans="1:23">
      <c r="A53" s="80"/>
      <c r="B53" s="81"/>
      <c r="C53" s="81"/>
      <c r="D53" s="82"/>
      <c r="E53" s="82"/>
      <c r="F53" s="82"/>
      <c r="G53" s="82"/>
      <c r="H53" s="82"/>
      <c r="I53" s="82"/>
      <c r="J53" s="82"/>
      <c r="K53" s="82"/>
      <c r="L53" s="82"/>
      <c r="M53" s="82"/>
      <c r="N53" s="82"/>
      <c r="O53" s="82"/>
      <c r="P53" s="82"/>
      <c r="Q53" s="82"/>
      <c r="R53" s="82"/>
      <c r="S53" s="82"/>
      <c r="T53" s="82"/>
      <c r="U53" s="82"/>
      <c r="V53" s="82"/>
      <c r="W53" s="82"/>
    </row>
    <row r="54" spans="1:23">
      <c r="A54" s="80"/>
      <c r="B54" s="81"/>
      <c r="C54" s="81"/>
      <c r="D54" s="82"/>
      <c r="E54" s="82"/>
      <c r="F54" s="82"/>
      <c r="G54" s="82"/>
      <c r="H54" s="82"/>
      <c r="I54" s="82"/>
      <c r="J54" s="82"/>
      <c r="K54" s="82"/>
      <c r="L54" s="82"/>
      <c r="M54" s="82"/>
      <c r="N54" s="82"/>
      <c r="O54" s="82"/>
      <c r="P54" s="82"/>
      <c r="Q54" s="82"/>
      <c r="R54" s="82"/>
      <c r="S54" s="82"/>
      <c r="T54" s="82"/>
      <c r="U54" s="82"/>
      <c r="V54" s="82"/>
      <c r="W54" s="82"/>
    </row>
    <row r="55" spans="1:23">
      <c r="A55" s="80"/>
      <c r="B55" s="81"/>
      <c r="C55" s="81"/>
      <c r="D55" s="82"/>
      <c r="E55" s="82"/>
      <c r="F55" s="82"/>
      <c r="G55" s="82"/>
      <c r="H55" s="82"/>
      <c r="I55" s="82"/>
      <c r="J55" s="82"/>
      <c r="K55" s="82"/>
      <c r="L55" s="82"/>
      <c r="M55" s="82"/>
      <c r="N55" s="82"/>
      <c r="O55" s="82"/>
      <c r="P55" s="82"/>
      <c r="Q55" s="82"/>
      <c r="R55" s="82"/>
      <c r="S55" s="82"/>
      <c r="T55" s="82"/>
      <c r="U55" s="82"/>
      <c r="V55" s="82"/>
      <c r="W55" s="82"/>
    </row>
    <row r="56" spans="1:23">
      <c r="A56" s="80"/>
      <c r="B56" s="81"/>
      <c r="C56" s="81"/>
      <c r="D56" s="82"/>
      <c r="E56" s="82"/>
      <c r="F56" s="82"/>
      <c r="G56" s="82"/>
      <c r="H56" s="82"/>
      <c r="I56" s="82"/>
      <c r="J56" s="82"/>
      <c r="K56" s="82"/>
      <c r="L56" s="82"/>
      <c r="M56" s="82"/>
      <c r="N56" s="82"/>
      <c r="O56" s="82"/>
      <c r="P56" s="82"/>
      <c r="Q56" s="82"/>
      <c r="R56" s="82"/>
      <c r="S56" s="82"/>
      <c r="T56" s="82"/>
      <c r="U56" s="82"/>
      <c r="V56" s="82"/>
      <c r="W56" s="82"/>
    </row>
    <row r="57" spans="1:23">
      <c r="A57" s="80"/>
      <c r="B57" s="81"/>
      <c r="C57" s="81"/>
      <c r="D57" s="82"/>
      <c r="E57" s="82"/>
      <c r="F57" s="82"/>
      <c r="G57" s="82"/>
      <c r="H57" s="82"/>
      <c r="I57" s="82"/>
      <c r="J57" s="82"/>
      <c r="K57" s="82"/>
      <c r="L57" s="82"/>
      <c r="M57" s="82"/>
      <c r="N57" s="82"/>
      <c r="O57" s="82"/>
      <c r="P57" s="82"/>
      <c r="Q57" s="82"/>
      <c r="R57" s="82"/>
      <c r="S57" s="82"/>
      <c r="T57" s="82"/>
      <c r="U57" s="82"/>
      <c r="V57" s="82"/>
      <c r="W57" s="82"/>
    </row>
    <row r="58" spans="1:23">
      <c r="A58" s="80"/>
      <c r="B58" s="81"/>
      <c r="C58" s="81"/>
      <c r="D58" s="82"/>
      <c r="E58" s="82"/>
      <c r="F58" s="82"/>
      <c r="G58" s="82"/>
      <c r="H58" s="82"/>
      <c r="I58" s="82"/>
      <c r="J58" s="82"/>
      <c r="K58" s="82"/>
      <c r="L58" s="82"/>
      <c r="M58" s="82"/>
      <c r="N58" s="82"/>
      <c r="O58" s="82"/>
      <c r="P58" s="82"/>
      <c r="Q58" s="82"/>
      <c r="R58" s="82"/>
      <c r="S58" s="82"/>
      <c r="T58" s="82"/>
      <c r="U58" s="82"/>
      <c r="V58" s="82"/>
      <c r="W58" s="82"/>
    </row>
    <row r="59" spans="1:23">
      <c r="A59" s="80"/>
      <c r="B59" s="81"/>
      <c r="C59" s="81"/>
      <c r="D59" s="82"/>
      <c r="E59" s="82"/>
      <c r="F59" s="82"/>
      <c r="G59" s="82"/>
      <c r="H59" s="82"/>
      <c r="I59" s="82"/>
      <c r="J59" s="82"/>
      <c r="K59" s="82"/>
      <c r="L59" s="82"/>
      <c r="M59" s="82"/>
      <c r="N59" s="82"/>
      <c r="O59" s="82"/>
      <c r="P59" s="82"/>
      <c r="Q59" s="82"/>
      <c r="R59" s="82"/>
      <c r="S59" s="82"/>
      <c r="T59" s="82"/>
      <c r="U59" s="82"/>
      <c r="V59" s="82"/>
      <c r="W59" s="82"/>
    </row>
    <row r="60" spans="1:23">
      <c r="A60" s="80"/>
      <c r="B60" s="81"/>
      <c r="C60" s="81"/>
      <c r="D60" s="82"/>
      <c r="E60" s="82"/>
      <c r="F60" s="82"/>
      <c r="G60" s="82"/>
      <c r="H60" s="82"/>
      <c r="I60" s="82"/>
      <c r="J60" s="82"/>
      <c r="K60" s="82"/>
      <c r="L60" s="82"/>
      <c r="M60" s="82"/>
      <c r="N60" s="82"/>
      <c r="O60" s="82"/>
      <c r="P60" s="82"/>
      <c r="Q60" s="82"/>
      <c r="R60" s="82"/>
      <c r="S60" s="82"/>
      <c r="T60" s="82"/>
      <c r="U60" s="82"/>
      <c r="V60" s="82"/>
      <c r="W60" s="82"/>
    </row>
  </sheetData>
  <sheetProtection password="DF0A" sheet="1" objects="1"/>
  <mergeCells count="7">
    <mergeCell ref="A1:W1"/>
    <mergeCell ref="B3:W3"/>
    <mergeCell ref="C9:U9"/>
    <mergeCell ref="E35:I35"/>
    <mergeCell ref="E36:I36"/>
    <mergeCell ref="B41:J41"/>
    <mergeCell ref="E43:N47"/>
  </mergeCells>
  <pageMargins left="0.75" right="0.75" top="1" bottom="1" header="0.511805555555556" footer="0.511805555555556"/>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项目分析</vt:lpstr>
      <vt:lpstr>效益测算分析表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kingsoft</dc:creator>
  <cp:lastModifiedBy>V.</cp:lastModifiedBy>
  <dcterms:created xsi:type="dcterms:W3CDTF">2018-02-27T11:14:00Z</dcterms:created>
  <dcterms:modified xsi:type="dcterms:W3CDTF">2020-10-27T12:59:00Z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2052-11.1.0.9999</vt:lpwstr>
  </property>
</Properties>
</file>